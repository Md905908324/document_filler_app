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res\Downloads\document_filler_app_1.6\document_filler_app\assets\data\"/>
    </mc:Choice>
  </mc:AlternateContent>
  <xr:revisionPtr revIDLastSave="0" documentId="13_ncr:1_{6DC078F5-1771-4666-8797-A44AC2E289B7}" xr6:coauthVersionLast="47" xr6:coauthVersionMax="47" xr10:uidLastSave="{00000000-0000-0000-0000-000000000000}"/>
  <bookViews>
    <workbookView xWindow="-120" yWindow="-120" windowWidth="38640" windowHeight="21120" firstSheet="1" activeTab="3" xr2:uid="{9FA2C2B7-C647-448B-88A9-798B40180345}"/>
  </bookViews>
  <sheets>
    <sheet name="Business Summary" sheetId="3" r:id="rId1"/>
    <sheet name="1 - Authorization" sheetId="5" r:id="rId2"/>
    <sheet name="2- RP Change" sheetId="1" r:id="rId3"/>
    <sheet name="3 - S Corp Election" sheetId="4" r:id="rId4"/>
    <sheet name="4 - TN Dissolution" sheetId="2" r:id="rId5"/>
    <sheet name="5 - NYS LLC Dissolution" sheetId="6" r:id="rId6"/>
    <sheet name="6 - NYS Corp Dissolution" sheetId="7" r:id="rId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7" l="1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37" i="7"/>
  <c r="B1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5" i="5"/>
  <c r="B26" i="5"/>
  <c r="B8" i="3"/>
  <c r="B15" i="4"/>
  <c r="B19" i="5"/>
  <c r="B12" i="5"/>
  <c r="B13" i="5"/>
  <c r="B14" i="5"/>
  <c r="B16" i="3"/>
  <c r="B12" i="4" s="1"/>
  <c r="B7" i="3"/>
  <c r="B7" i="4" s="1"/>
  <c r="B24" i="5"/>
  <c r="B23" i="5"/>
  <c r="B22" i="5"/>
  <c r="B21" i="5"/>
  <c r="B20" i="5"/>
  <c r="B17" i="5"/>
  <c r="B16" i="5"/>
  <c r="B11" i="5"/>
  <c r="B10" i="5"/>
  <c r="B9" i="5"/>
  <c r="B8" i="5"/>
  <c r="B6" i="5"/>
  <c r="B5" i="5"/>
  <c r="B4" i="5"/>
  <c r="B3" i="5"/>
  <c r="B2" i="5"/>
  <c r="B1" i="5"/>
  <c r="B20" i="2"/>
  <c r="B19" i="2"/>
  <c r="B18" i="2"/>
  <c r="B17" i="2"/>
  <c r="B16" i="2"/>
  <c r="B14" i="2"/>
  <c r="B13" i="2"/>
  <c r="B11" i="2"/>
  <c r="B10" i="2"/>
  <c r="B9" i="2"/>
  <c r="B8" i="2"/>
  <c r="B6" i="2"/>
  <c r="B5" i="2"/>
  <c r="B4" i="2"/>
  <c r="B3" i="2"/>
  <c r="B2" i="2"/>
  <c r="B1" i="2"/>
  <c r="B20" i="1"/>
  <c r="B19" i="1"/>
  <c r="B18" i="1"/>
  <c r="B17" i="1"/>
  <c r="B16" i="1"/>
  <c r="B14" i="1"/>
  <c r="B13" i="1"/>
  <c r="B11" i="1"/>
  <c r="B10" i="1"/>
  <c r="B9" i="1"/>
  <c r="B8" i="1"/>
  <c r="B6" i="1"/>
  <c r="B5" i="1"/>
  <c r="B4" i="1"/>
  <c r="B3" i="1"/>
  <c r="B2" i="1"/>
  <c r="B1" i="1"/>
  <c r="B2" i="4"/>
  <c r="B3" i="4"/>
  <c r="B4" i="4"/>
  <c r="B5" i="4"/>
  <c r="B6" i="4"/>
  <c r="B8" i="4"/>
  <c r="B9" i="4"/>
  <c r="B10" i="4"/>
  <c r="B11" i="4"/>
  <c r="B13" i="4"/>
  <c r="B14" i="4"/>
  <c r="B16" i="4"/>
  <c r="B17" i="4"/>
  <c r="B18" i="4"/>
  <c r="B19" i="4"/>
  <c r="B20" i="4"/>
  <c r="B21" i="4"/>
  <c r="B22" i="4"/>
  <c r="B24" i="4"/>
  <c r="B25" i="4"/>
  <c r="B26" i="4"/>
  <c r="B27" i="4"/>
  <c r="B28" i="4"/>
  <c r="B29" i="4"/>
  <c r="B31" i="4"/>
  <c r="B32" i="4"/>
  <c r="B33" i="4"/>
  <c r="B34" i="4"/>
  <c r="B1" i="4"/>
  <c r="B35" i="3"/>
  <c r="B30" i="4" s="1"/>
  <c r="B28" i="3"/>
  <c r="B18" i="5" s="1"/>
  <c r="B17" i="3" l="1"/>
  <c r="B15" i="1"/>
  <c r="B15" i="2"/>
  <c r="B15" i="5"/>
  <c r="B12" i="2"/>
  <c r="B12" i="1"/>
  <c r="B23" i="4"/>
  <c r="B7" i="2"/>
  <c r="B7" i="5"/>
  <c r="B7" i="1"/>
</calcChain>
</file>

<file path=xl/sharedStrings.xml><?xml version="1.0" encoding="utf-8"?>
<sst xmlns="http://schemas.openxmlformats.org/spreadsheetml/2006/main" count="391" uniqueCount="202">
  <si>
    <t>NJ9999</t>
  </si>
  <si>
    <t>Test LLC</t>
  </si>
  <si>
    <t>123 Main Rd</t>
  </si>
  <si>
    <t>Test, NJ 10001</t>
  </si>
  <si>
    <t>12-3456789</t>
  </si>
  <si>
    <t>John Doe</t>
  </si>
  <si>
    <t>123-45-6789</t>
  </si>
  <si>
    <t>Jane Doe</t>
  </si>
  <si>
    <t>Entity_RP_Title</t>
  </si>
  <si>
    <t>Entity_Member_Address</t>
  </si>
  <si>
    <t>Managing Member</t>
  </si>
  <si>
    <t>all MEMBER(S)</t>
  </si>
  <si>
    <t>IRS_Location</t>
  </si>
  <si>
    <t>Cincinnati, OH 45999-0023</t>
  </si>
  <si>
    <t>Kansas City, MO 64999-0044</t>
  </si>
  <si>
    <t>IRS Location</t>
  </si>
  <si>
    <t>Client_Name</t>
  </si>
  <si>
    <t>Business_Address</t>
  </si>
  <si>
    <t>Business_City_State_Zip</t>
  </si>
  <si>
    <t>Business_EIN</t>
  </si>
  <si>
    <t>Todays_Date</t>
  </si>
  <si>
    <t>P1_SSN</t>
  </si>
  <si>
    <t>Effective_Date</t>
  </si>
  <si>
    <t>Client_Number</t>
  </si>
  <si>
    <t>Entity_State</t>
  </si>
  <si>
    <t>Entity_Type</t>
  </si>
  <si>
    <t>07/14/2025</t>
  </si>
  <si>
    <t>Closed_Date</t>
  </si>
  <si>
    <t>Entity_County</t>
  </si>
  <si>
    <t>State_Account_Number</t>
  </si>
  <si>
    <t>1234-5678</t>
  </si>
  <si>
    <t>Last_Date_Of_Payroll</t>
  </si>
  <si>
    <t>6/31/2025</t>
  </si>
  <si>
    <t>Closing_Reason</t>
  </si>
  <si>
    <t>Closed Business</t>
  </si>
  <si>
    <t>Future_Address</t>
  </si>
  <si>
    <t>123 New Location Rd, New Town, TN 10001</t>
  </si>
  <si>
    <t>Responsible_Person_P1</t>
  </si>
  <si>
    <t>Task</t>
  </si>
  <si>
    <t>RP</t>
  </si>
  <si>
    <t>07/01/2024</t>
  </si>
  <si>
    <t>Incorp_Date</t>
  </si>
  <si>
    <t>Shareholder_1_Ownership</t>
  </si>
  <si>
    <t>Shareholder_1_Name</t>
  </si>
  <si>
    <t>Shareholder_1_SSN</t>
  </si>
  <si>
    <t>Shareholder_1_Tax_Year</t>
  </si>
  <si>
    <t>Shareholder_2_SSN</t>
  </si>
  <si>
    <t>Shareholder_2_Tax_Year</t>
  </si>
  <si>
    <t>Shareholder_3_SSN</t>
  </si>
  <si>
    <t>Shareholder_3_Tax_Year</t>
  </si>
  <si>
    <t>Shareholder_4_SSN</t>
  </si>
  <si>
    <t>Shareholder_4_Tax_Year</t>
  </si>
  <si>
    <t>Shareholder_5_SSN</t>
  </si>
  <si>
    <t>Shareholder_5_Tax_Year</t>
  </si>
  <si>
    <t>Shareholder_6_SSN</t>
  </si>
  <si>
    <t>Shareholder_6_Tax_Year</t>
  </si>
  <si>
    <t>Shareholder_7_SSN</t>
  </si>
  <si>
    <t>Shareholder_7_Tax_Year</t>
  </si>
  <si>
    <t>Shareholder_1_Address</t>
  </si>
  <si>
    <t>Shareholder_1_City_State_Zip</t>
  </si>
  <si>
    <t>Shareholder_2_Name</t>
  </si>
  <si>
    <t>Shareholder_2_Address</t>
  </si>
  <si>
    <t>Shareholder_2_City_State_Zip</t>
  </si>
  <si>
    <t>Shareholder_3_City_State_Zip</t>
  </si>
  <si>
    <t>Shareholder_4_Name</t>
  </si>
  <si>
    <t>Shareholder_4_Address</t>
  </si>
  <si>
    <t>Shareholder_4_City_State_Zip</t>
  </si>
  <si>
    <t>Shareholder_5_Name</t>
  </si>
  <si>
    <t>Shareholder_5_Address</t>
  </si>
  <si>
    <t>Shareholder_5_City_State_Zip</t>
  </si>
  <si>
    <t>Shareholder_6_Name</t>
  </si>
  <si>
    <t>Shareholder_6_Address</t>
  </si>
  <si>
    <t>Shareholder_6_City_State_Zip</t>
  </si>
  <si>
    <t>Shareholder_7_Name</t>
  </si>
  <si>
    <t>Shareholder_7_Address</t>
  </si>
  <si>
    <t>Shareholder_7_City_State_Zip</t>
  </si>
  <si>
    <t>Shareholder_1_Date_Acquired</t>
  </si>
  <si>
    <t>Shareholder_2_Ownership</t>
  </si>
  <si>
    <t>Shareholder_2_Date_Acquired</t>
  </si>
  <si>
    <t>Shareholder_3_Date_Acquired</t>
  </si>
  <si>
    <t>Shareholder_4_Ownership</t>
  </si>
  <si>
    <t>Shareholder_4_Date_Acquired</t>
  </si>
  <si>
    <t>Shareholder_5_Ownership</t>
  </si>
  <si>
    <t>Shareholder_5_Date_Acquired</t>
  </si>
  <si>
    <t>Shareholder_6_Ownership</t>
  </si>
  <si>
    <t>Shareholder_6_Date_Acquired</t>
  </si>
  <si>
    <t>Shareholder_7_Ownership</t>
  </si>
  <si>
    <t>Shareholder_7_Date_Acquired</t>
  </si>
  <si>
    <t>P1_Email</t>
  </si>
  <si>
    <t>Business_City</t>
  </si>
  <si>
    <t>Business_State</t>
  </si>
  <si>
    <t>Business_Zip</t>
  </si>
  <si>
    <t>Tax_Year_End_Month_Day</t>
  </si>
  <si>
    <t>Preparer_PTIN_Or_SSN</t>
  </si>
  <si>
    <t>Excl_Code</t>
  </si>
  <si>
    <t>Shareholder_Number</t>
  </si>
  <si>
    <t>Shares_Outstanding</t>
  </si>
  <si>
    <t>Shareholder_Number_Outstate</t>
  </si>
  <si>
    <t>Shareholder_3_Name</t>
  </si>
  <si>
    <t>Shareholder_3_Address</t>
  </si>
  <si>
    <t>Shareholder_3_Ownership</t>
  </si>
  <si>
    <t>NYS_Business_Begin_Date</t>
  </si>
  <si>
    <t>Test</t>
  </si>
  <si>
    <t>NJ</t>
  </si>
  <si>
    <t>123</t>
  </si>
  <si>
    <t>456-7890</t>
  </si>
  <si>
    <t>Phone_No_Area_Code</t>
  </si>
  <si>
    <t>Phone_Area_Code</t>
  </si>
  <si>
    <t>Phone_Number</t>
  </si>
  <si>
    <t>P1_Address</t>
  </si>
  <si>
    <t>P1_City_State_Zip</t>
  </si>
  <si>
    <t>New_RP_SSN</t>
  </si>
  <si>
    <t>Preparer_Firm_Name</t>
  </si>
  <si>
    <t>Test Accounting Inc</t>
  </si>
  <si>
    <t>Test@email.com</t>
  </si>
  <si>
    <t>NY</t>
  </si>
  <si>
    <t>Preparer_Firm_EIN</t>
  </si>
  <si>
    <t>Preparer_Firm_Address</t>
  </si>
  <si>
    <t>Preparer_Firm_City</t>
  </si>
  <si>
    <t>Preparer_Firm_State</t>
  </si>
  <si>
    <t>Preparer_Firm_Zip</t>
  </si>
  <si>
    <t>Preparer_City_State_Zip</t>
  </si>
  <si>
    <t>Preparer_Name</t>
  </si>
  <si>
    <t>Preparer_Email</t>
  </si>
  <si>
    <t>Preparer_Phone</t>
  </si>
  <si>
    <t>Document_Type</t>
  </si>
  <si>
    <t>Certificate of Dissolution</t>
  </si>
  <si>
    <t>9876543-21</t>
  </si>
  <si>
    <t>100 5th Ave</t>
  </si>
  <si>
    <t>New York</t>
  </si>
  <si>
    <t>James Dome</t>
  </si>
  <si>
    <t>111-11-1111</t>
  </si>
  <si>
    <t>jamesdome@acctg.com</t>
  </si>
  <si>
    <t>222-22-2222</t>
  </si>
  <si>
    <t>S Corp Election</t>
  </si>
  <si>
    <t>12/31</t>
  </si>
  <si>
    <t>01/01/2025</t>
  </si>
  <si>
    <t>50%</t>
  </si>
  <si>
    <t>New_Responsible_Person</t>
  </si>
  <si>
    <t>New_State_Acct_Number</t>
  </si>
  <si>
    <t>Bergen</t>
  </si>
  <si>
    <t>1/1/2020</t>
  </si>
  <si>
    <t>123-45-6790</t>
  </si>
  <si>
    <t>Authorization</t>
  </si>
  <si>
    <t>P1_City</t>
  </si>
  <si>
    <t>P1_State</t>
  </si>
  <si>
    <t>P1_Zip</t>
  </si>
  <si>
    <t>10001</t>
  </si>
  <si>
    <t>P1_Full_Address</t>
  </si>
  <si>
    <t>RP_Date</t>
  </si>
  <si>
    <t>Business_Full_Address</t>
  </si>
  <si>
    <t>Entity_Industry</t>
  </si>
  <si>
    <t>Full Service Restaurant</t>
  </si>
  <si>
    <t>Month_End</t>
  </si>
  <si>
    <t>December</t>
  </si>
  <si>
    <t>RP_Wechat</t>
  </si>
  <si>
    <t>Corporation Form</t>
  </si>
  <si>
    <t>Billing_Address</t>
  </si>
  <si>
    <t>Billing_City</t>
  </si>
  <si>
    <t>Billing_State</t>
  </si>
  <si>
    <t>Billing_Zip</t>
  </si>
  <si>
    <t>Bank_Name</t>
  </si>
  <si>
    <t>Acct_Number</t>
  </si>
  <si>
    <t>Bank_Routing</t>
  </si>
  <si>
    <t>Bank_City_State</t>
  </si>
  <si>
    <t>121343565787</t>
  </si>
  <si>
    <t>Bank Of America</t>
  </si>
  <si>
    <t>Newark, NJ</t>
  </si>
  <si>
    <t>Acct_Name</t>
  </si>
  <si>
    <t xml:space="preserve">Test Bank LLC </t>
  </si>
  <si>
    <t>Domestic LLC</t>
  </si>
  <si>
    <t>Responsible_Person_P2</t>
  </si>
  <si>
    <t>Responsible_Person_P3</t>
  </si>
  <si>
    <t>Responsible_Person_P4</t>
  </si>
  <si>
    <t>Responsible_Person_P5</t>
  </si>
  <si>
    <t>P2_Full_Address</t>
  </si>
  <si>
    <t>P3_Full_Address</t>
  </si>
  <si>
    <t>P4_Full_Address</t>
  </si>
  <si>
    <t>P5_Full_Address</t>
  </si>
  <si>
    <t>All_RP_Name_Address</t>
  </si>
  <si>
    <t>test</t>
  </si>
  <si>
    <t>Liquidation_Date</t>
  </si>
  <si>
    <t>Service_Center_Filed</t>
  </si>
  <si>
    <t>EFILE</t>
  </si>
  <si>
    <t>Outstanding_Shares_Common</t>
  </si>
  <si>
    <t>Outstanding_Shares_Preferred</t>
  </si>
  <si>
    <t>Final_Tax_Year_End_Date</t>
  </si>
  <si>
    <t>Preceding_Tax_Year_End_Date</t>
  </si>
  <si>
    <t>Section_Code</t>
  </si>
  <si>
    <t>Section 331</t>
  </si>
  <si>
    <t>Other</t>
  </si>
  <si>
    <t>f1120</t>
  </si>
  <si>
    <t>f1120-L</t>
  </si>
  <si>
    <t>f1120-IC-DISC</t>
  </si>
  <si>
    <t>f1120S</t>
  </si>
  <si>
    <t>Liquidation_Complete</t>
  </si>
  <si>
    <t>Liquidation_Partial</t>
  </si>
  <si>
    <t>Consolidated_Income_Tax_Return_Yes</t>
  </si>
  <si>
    <t>Consolidated_Income_Tax_Return_No</t>
  </si>
  <si>
    <t>TN Dissolution</t>
  </si>
  <si>
    <t>NYS Corp Dissolution</t>
  </si>
  <si>
    <t>NYS LLC Dissolution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</si>
</sst>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8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4" fillId="0" borderId="0"/>
  </cellStyleXfs>
  <cellXfs count="9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0" borderId="0" xfId="0" applyFont="1"/>
    <xf numFmtId="0" fontId="3" fillId="0" borderId="0" xfId="0" applyFont="1"/>
    <xf numFmtId="49" fontId="3" fillId="0" borderId="0" xfId="0" applyNumberFormat="1" applyFont="1"/>
    <xf numFmtId="49" fontId="2" fillId="0" borderId="0" xfId="1" applyNumberFormat="1"/>
    <xf numFmtId="0" fontId="6" fillId="0" borderId="0" xfId="0" applyFont="1" applyAlignment="1">
      <alignment wrapText="1"/>
    </xf>
    <xf numFmtId="0" fontId="6" fillId="0" borderId="0" xfId="0" applyFont="1"/>
  </cellXfs>
  <cellStyles count="3">
    <cellStyle name="Hyperlink" xfId="1" builtinId="8"/>
    <cellStyle name="Normal" xfId="0" builtinId="0"/>
    <cellStyle name="Normal 2" xfId="2" xr:uid="{16F9D2E9-6DB9-4EAE-8798-1529AD53B30C}"/>
  </cellStyles>
  <dxfs count="0"/>
  <tableStyles count="1" defaultTableStyle="TableStyleMedium2" defaultPivotStyle="PivotStyleLight16">
    <tableStyle name="Invisible" pivot="0" table="0" count="0" xr9:uid="{7A13373B-9AA8-4A46-BBBA-98D9E896649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jamesdome@acctg.com" TargetMode="External"/><Relationship Id="rId1" Type="http://schemas.openxmlformats.org/officeDocument/2006/relationships/hyperlink" Target="mailto:Test@e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8A58-91EA-4093-B2B9-89AEB113C82D}">
  <sheetPr codeName="Sheet1"/>
  <dimension ref="A1:B39"/>
  <sheetViews>
    <sheetView topLeftCell="A22" workbookViewId="0">
      <selection activeCell="D33" sqref="D33"/>
    </sheetView>
  </sheetViews>
  <sheetFormatPr defaultRowHeight="15" x14ac:dyDescent="0.25"/>
  <cols>
    <col min="1" max="2" width="28.140625" customWidth="1"/>
  </cols>
  <sheetData>
    <row r="1" spans="1:2" x14ac:dyDescent="0.25">
      <c r="A1" s="2" t="s">
        <v>23</v>
      </c>
      <c r="B1" s="2" t="s">
        <v>0</v>
      </c>
    </row>
    <row r="2" spans="1:2" x14ac:dyDescent="0.25">
      <c r="A2" s="2" t="s">
        <v>16</v>
      </c>
      <c r="B2" s="2" t="s">
        <v>1</v>
      </c>
    </row>
    <row r="3" spans="1:2" x14ac:dyDescent="0.25">
      <c r="A3" s="2" t="s">
        <v>17</v>
      </c>
      <c r="B3" s="2" t="s">
        <v>2</v>
      </c>
    </row>
    <row r="4" spans="1:2" x14ac:dyDescent="0.25">
      <c r="A4" s="2" t="s">
        <v>89</v>
      </c>
      <c r="B4" s="2" t="s">
        <v>102</v>
      </c>
    </row>
    <row r="5" spans="1:2" x14ac:dyDescent="0.25">
      <c r="A5" s="2" t="s">
        <v>90</v>
      </c>
      <c r="B5" s="2" t="s">
        <v>103</v>
      </c>
    </row>
    <row r="6" spans="1:2" x14ac:dyDescent="0.25">
      <c r="A6" s="2" t="s">
        <v>91</v>
      </c>
      <c r="B6" s="2">
        <v>10001</v>
      </c>
    </row>
    <row r="7" spans="1:2" x14ac:dyDescent="0.25">
      <c r="A7" s="2" t="s">
        <v>18</v>
      </c>
      <c r="B7" t="str">
        <f>CONCATENATE(B4, ", ", B5, " ", B6)</f>
        <v>Test, NJ 10001</v>
      </c>
    </row>
    <row r="8" spans="1:2" x14ac:dyDescent="0.25">
      <c r="A8" s="2" t="s">
        <v>150</v>
      </c>
      <c r="B8" t="str">
        <f>CONCATENATE(B3, ", ",B7)</f>
        <v>123 Main Rd, Test, NJ 10001</v>
      </c>
    </row>
    <row r="9" spans="1:2" x14ac:dyDescent="0.25">
      <c r="A9" s="2" t="s">
        <v>19</v>
      </c>
      <c r="B9" s="2" t="s">
        <v>4</v>
      </c>
    </row>
    <row r="10" spans="1:2" x14ac:dyDescent="0.25">
      <c r="A10" s="2" t="s">
        <v>20</v>
      </c>
      <c r="B10" s="2" t="s">
        <v>26</v>
      </c>
    </row>
    <row r="11" spans="1:2" x14ac:dyDescent="0.25">
      <c r="A11" s="2" t="s">
        <v>37</v>
      </c>
      <c r="B11" s="2" t="s">
        <v>5</v>
      </c>
    </row>
    <row r="12" spans="1:2" x14ac:dyDescent="0.25">
      <c r="A12" s="2" t="s">
        <v>109</v>
      </c>
      <c r="B12" s="2" t="s">
        <v>2</v>
      </c>
    </row>
    <row r="13" spans="1:2" x14ac:dyDescent="0.25">
      <c r="A13" s="2" t="s">
        <v>144</v>
      </c>
      <c r="B13" s="2" t="s">
        <v>102</v>
      </c>
    </row>
    <row r="14" spans="1:2" x14ac:dyDescent="0.25">
      <c r="A14" s="2" t="s">
        <v>145</v>
      </c>
      <c r="B14" s="2" t="s">
        <v>103</v>
      </c>
    </row>
    <row r="15" spans="1:2" x14ac:dyDescent="0.25">
      <c r="A15" s="2" t="s">
        <v>146</v>
      </c>
      <c r="B15" s="2" t="s">
        <v>147</v>
      </c>
    </row>
    <row r="16" spans="1:2" x14ac:dyDescent="0.25">
      <c r="A16" s="2" t="s">
        <v>110</v>
      </c>
      <c r="B16" t="str">
        <f>CONCATENATE(B13, ", ", B14, " ", B15)</f>
        <v>Test, NJ 10001</v>
      </c>
    </row>
    <row r="17" spans="1:2" x14ac:dyDescent="0.25">
      <c r="A17" s="2" t="s">
        <v>148</v>
      </c>
      <c r="B17" t="str">
        <f>CONCATENATE(B12, ", ",B16)</f>
        <v>123 Main Rd, Test, NJ 10001</v>
      </c>
    </row>
    <row r="18" spans="1:2" x14ac:dyDescent="0.25">
      <c r="A18" s="2" t="s">
        <v>21</v>
      </c>
      <c r="B18" s="2" t="s">
        <v>6</v>
      </c>
    </row>
    <row r="19" spans="1:2" x14ac:dyDescent="0.25">
      <c r="A19" s="2" t="s">
        <v>88</v>
      </c>
      <c r="B19" s="6" t="s">
        <v>114</v>
      </c>
    </row>
    <row r="20" spans="1:2" x14ac:dyDescent="0.25">
      <c r="A20" s="2" t="s">
        <v>41</v>
      </c>
      <c r="B20" s="2" t="s">
        <v>141</v>
      </c>
    </row>
    <row r="21" spans="1:2" x14ac:dyDescent="0.25">
      <c r="A21" s="2" t="s">
        <v>28</v>
      </c>
      <c r="B21" s="2" t="s">
        <v>140</v>
      </c>
    </row>
    <row r="22" spans="1:2" x14ac:dyDescent="0.25">
      <c r="A22" s="2" t="s">
        <v>24</v>
      </c>
      <c r="B22" s="2" t="s">
        <v>103</v>
      </c>
    </row>
    <row r="23" spans="1:2" x14ac:dyDescent="0.25">
      <c r="A23" s="2" t="s">
        <v>25</v>
      </c>
      <c r="B23" s="2" t="s">
        <v>170</v>
      </c>
    </row>
    <row r="24" spans="1:2" x14ac:dyDescent="0.25">
      <c r="A24" s="2" t="s">
        <v>8</v>
      </c>
      <c r="B24" s="2" t="s">
        <v>10</v>
      </c>
    </row>
    <row r="25" spans="1:2" x14ac:dyDescent="0.25">
      <c r="A25" s="2" t="s">
        <v>9</v>
      </c>
      <c r="B25" s="2" t="s">
        <v>11</v>
      </c>
    </row>
    <row r="26" spans="1:2" x14ac:dyDescent="0.25">
      <c r="A26" t="s">
        <v>107</v>
      </c>
      <c r="B26" s="2" t="s">
        <v>104</v>
      </c>
    </row>
    <row r="27" spans="1:2" x14ac:dyDescent="0.25">
      <c r="A27" t="s">
        <v>106</v>
      </c>
      <c r="B27" s="2" t="s">
        <v>105</v>
      </c>
    </row>
    <row r="28" spans="1:2" x14ac:dyDescent="0.25">
      <c r="A28" t="s">
        <v>108</v>
      </c>
      <c r="B28" t="str">
        <f>CONCATENATE("(",B26, ") ", B27)</f>
        <v>(123) 456-7890</v>
      </c>
    </row>
    <row r="29" spans="1:2" x14ac:dyDescent="0.25">
      <c r="A29" t="s">
        <v>112</v>
      </c>
      <c r="B29" s="2" t="s">
        <v>113</v>
      </c>
    </row>
    <row r="30" spans="1:2" x14ac:dyDescent="0.25">
      <c r="A30" t="s">
        <v>116</v>
      </c>
      <c r="B30" s="2" t="s">
        <v>127</v>
      </c>
    </row>
    <row r="31" spans="1:2" x14ac:dyDescent="0.25">
      <c r="A31" t="s">
        <v>117</v>
      </c>
      <c r="B31" s="2" t="s">
        <v>128</v>
      </c>
    </row>
    <row r="32" spans="1:2" x14ac:dyDescent="0.25">
      <c r="A32" t="s">
        <v>118</v>
      </c>
      <c r="B32" s="2" t="s">
        <v>129</v>
      </c>
    </row>
    <row r="33" spans="1:2" x14ac:dyDescent="0.25">
      <c r="A33" t="s">
        <v>119</v>
      </c>
      <c r="B33" s="2" t="s">
        <v>115</v>
      </c>
    </row>
    <row r="34" spans="1:2" x14ac:dyDescent="0.25">
      <c r="A34" t="s">
        <v>120</v>
      </c>
      <c r="B34" s="2">
        <v>10001</v>
      </c>
    </row>
    <row r="35" spans="1:2" x14ac:dyDescent="0.25">
      <c r="A35" t="s">
        <v>121</v>
      </c>
      <c r="B35" t="str">
        <f>CONCATENATE(B32, ", ", B33, " ", B34)</f>
        <v>New York, NY 10001</v>
      </c>
    </row>
    <row r="36" spans="1:2" x14ac:dyDescent="0.25">
      <c r="A36" t="s">
        <v>122</v>
      </c>
      <c r="B36" s="2" t="s">
        <v>130</v>
      </c>
    </row>
    <row r="37" spans="1:2" x14ac:dyDescent="0.25">
      <c r="A37" t="s">
        <v>93</v>
      </c>
      <c r="B37" s="2" t="s">
        <v>131</v>
      </c>
    </row>
    <row r="38" spans="1:2" x14ac:dyDescent="0.25">
      <c r="A38" t="s">
        <v>123</v>
      </c>
      <c r="B38" s="6" t="s">
        <v>132</v>
      </c>
    </row>
    <row r="39" spans="1:2" x14ac:dyDescent="0.25">
      <c r="A39" t="s">
        <v>124</v>
      </c>
      <c r="B39" t="s">
        <v>133</v>
      </c>
    </row>
  </sheetData>
  <hyperlinks>
    <hyperlink ref="B19" r:id="rId1" xr:uid="{2720267E-7421-4855-B405-4C44A65BC1DD}"/>
    <hyperlink ref="B38" r:id="rId2" xr:uid="{8FBF3A74-5F8B-47E1-AA0D-8376ECBB12E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72D68-F4F8-42D9-A935-BF819FF03615}">
  <sheetPr codeName="Sheet2"/>
  <dimension ref="A1:B42"/>
  <sheetViews>
    <sheetView workbookViewId="0">
      <selection activeCell="G16" sqref="G16"/>
    </sheetView>
  </sheetViews>
  <sheetFormatPr defaultRowHeight="15" x14ac:dyDescent="0.25"/>
  <cols>
    <col min="1" max="2" width="36.140625" customWidth="1"/>
  </cols>
  <sheetData>
    <row r="1" spans="1:2" x14ac:dyDescent="0.25">
      <c r="A1" s="5" t="s">
        <v>23</v>
      </c>
      <c r="B1" s="4" t="str">
        <f>VLOOKUP(A1, 'Business Summary'!A:B, 2, FALSE)</f>
        <v>NJ9999</v>
      </c>
    </row>
    <row r="2" spans="1:2" x14ac:dyDescent="0.25">
      <c r="A2" s="5" t="s">
        <v>16</v>
      </c>
      <c r="B2" s="4" t="str">
        <f>VLOOKUP(A2, 'Business Summary'!A:B, 2, FALSE)</f>
        <v>Test LLC</v>
      </c>
    </row>
    <row r="3" spans="1:2" x14ac:dyDescent="0.25">
      <c r="A3" s="5" t="s">
        <v>17</v>
      </c>
      <c r="B3" s="4" t="str">
        <f>VLOOKUP(A3, 'Business Summary'!A:B, 2, FALSE)</f>
        <v>123 Main Rd</v>
      </c>
    </row>
    <row r="4" spans="1:2" x14ac:dyDescent="0.25">
      <c r="A4" s="5" t="s">
        <v>89</v>
      </c>
      <c r="B4" s="4" t="str">
        <f>VLOOKUP(A4, 'Business Summary'!A:B, 2, FALSE)</f>
        <v>Test</v>
      </c>
    </row>
    <row r="5" spans="1:2" x14ac:dyDescent="0.25">
      <c r="A5" s="5" t="s">
        <v>90</v>
      </c>
      <c r="B5" s="4" t="str">
        <f>VLOOKUP(A5, 'Business Summary'!A:B, 2, FALSE)</f>
        <v>NJ</v>
      </c>
    </row>
    <row r="6" spans="1:2" x14ac:dyDescent="0.25">
      <c r="A6" s="5" t="s">
        <v>91</v>
      </c>
      <c r="B6" s="4">
        <f>VLOOKUP(A6, 'Business Summary'!A:B, 2, FALSE)</f>
        <v>10001</v>
      </c>
    </row>
    <row r="7" spans="1:2" x14ac:dyDescent="0.25">
      <c r="A7" s="5" t="s">
        <v>18</v>
      </c>
      <c r="B7" s="4" t="str">
        <f>VLOOKUP(A7, 'Business Summary'!A:B, 2, FALSE)</f>
        <v>Test, NJ 10001</v>
      </c>
    </row>
    <row r="8" spans="1:2" x14ac:dyDescent="0.25">
      <c r="A8" s="5" t="s">
        <v>19</v>
      </c>
      <c r="B8" s="4" t="str">
        <f>VLOOKUP(A8, 'Business Summary'!A:B, 2, FALSE)</f>
        <v>12-3456789</v>
      </c>
    </row>
    <row r="9" spans="1:2" x14ac:dyDescent="0.25">
      <c r="A9" s="5" t="s">
        <v>20</v>
      </c>
      <c r="B9" s="4" t="str">
        <f>VLOOKUP(A9, 'Business Summary'!A:B, 2, FALSE)</f>
        <v>07/14/2025</v>
      </c>
    </row>
    <row r="10" spans="1:2" x14ac:dyDescent="0.25">
      <c r="A10" s="5" t="s">
        <v>37</v>
      </c>
      <c r="B10" s="4" t="str">
        <f>VLOOKUP(A10, 'Business Summary'!A:B, 2, FALSE)</f>
        <v>John Doe</v>
      </c>
    </row>
    <row r="11" spans="1:2" x14ac:dyDescent="0.25">
      <c r="A11" s="5" t="s">
        <v>109</v>
      </c>
      <c r="B11" s="4" t="str">
        <f>VLOOKUP(A11, 'Business Summary'!A:B, 2, FALSE)</f>
        <v>123 Main Rd</v>
      </c>
    </row>
    <row r="12" spans="1:2" x14ac:dyDescent="0.25">
      <c r="A12" s="5" t="s">
        <v>144</v>
      </c>
      <c r="B12" s="4" t="str">
        <f>VLOOKUP(A12, 'Business Summary'!A:B, 2, FALSE)</f>
        <v>Test</v>
      </c>
    </row>
    <row r="13" spans="1:2" x14ac:dyDescent="0.25">
      <c r="A13" s="5" t="s">
        <v>145</v>
      </c>
      <c r="B13" s="4" t="str">
        <f>VLOOKUP(A13, 'Business Summary'!A:B, 2, FALSE)</f>
        <v>NJ</v>
      </c>
    </row>
    <row r="14" spans="1:2" x14ac:dyDescent="0.25">
      <c r="A14" s="5" t="s">
        <v>146</v>
      </c>
      <c r="B14" s="4" t="str">
        <f>VLOOKUP(A14, 'Business Summary'!A:B, 2, FALSE)</f>
        <v>10001</v>
      </c>
    </row>
    <row r="15" spans="1:2" x14ac:dyDescent="0.25">
      <c r="A15" s="5" t="s">
        <v>110</v>
      </c>
      <c r="B15" s="4" t="str">
        <f>VLOOKUP(A15, 'Business Summary'!A:B, 2, FALSE)</f>
        <v>Test, NJ 10001</v>
      </c>
    </row>
    <row r="16" spans="1:2" x14ac:dyDescent="0.25">
      <c r="A16" s="5" t="s">
        <v>21</v>
      </c>
      <c r="B16" s="4" t="str">
        <f>VLOOKUP(A16, 'Business Summary'!A:B, 2, FALSE)</f>
        <v>123-45-6789</v>
      </c>
    </row>
    <row r="17" spans="1:2" x14ac:dyDescent="0.25">
      <c r="A17" s="5" t="s">
        <v>88</v>
      </c>
      <c r="B17" s="4" t="str">
        <f>VLOOKUP(A17, 'Business Summary'!A:B, 2, FALSE)</f>
        <v>Test@email.com</v>
      </c>
    </row>
    <row r="18" spans="1:2" x14ac:dyDescent="0.25">
      <c r="A18" s="5" t="s">
        <v>108</v>
      </c>
      <c r="B18" s="4" t="str">
        <f>VLOOKUP(A18, 'Business Summary'!A:B, 2, FALSE)</f>
        <v>(123) 456-7890</v>
      </c>
    </row>
    <row r="19" spans="1:2" x14ac:dyDescent="0.25">
      <c r="A19" s="5" t="s">
        <v>41</v>
      </c>
      <c r="B19" s="4" t="str">
        <f>VLOOKUP(A19, 'Business Summary'!A:B, 2, FALSE)</f>
        <v>1/1/2020</v>
      </c>
    </row>
    <row r="20" spans="1:2" x14ac:dyDescent="0.25">
      <c r="A20" s="5" t="s">
        <v>28</v>
      </c>
      <c r="B20" s="4" t="str">
        <f>VLOOKUP(A20, 'Business Summary'!A:B, 2, FALSE)</f>
        <v>Bergen</v>
      </c>
    </row>
    <row r="21" spans="1:2" x14ac:dyDescent="0.25">
      <c r="A21" s="5" t="s">
        <v>24</v>
      </c>
      <c r="B21" s="4" t="str">
        <f>VLOOKUP(A21, 'Business Summary'!A:B, 2, FALSE)</f>
        <v>NJ</v>
      </c>
    </row>
    <row r="22" spans="1:2" x14ac:dyDescent="0.25">
      <c r="A22" s="5" t="s">
        <v>25</v>
      </c>
      <c r="B22" s="4" t="str">
        <f>VLOOKUP(A22, 'Business Summary'!A:B, 2, FALSE)</f>
        <v>Domestic LLC</v>
      </c>
    </row>
    <row r="23" spans="1:2" x14ac:dyDescent="0.25">
      <c r="A23" s="5" t="s">
        <v>8</v>
      </c>
      <c r="B23" s="4" t="str">
        <f>VLOOKUP(A23, 'Business Summary'!A:B, 2, FALSE)</f>
        <v>Managing Member</v>
      </c>
    </row>
    <row r="24" spans="1:2" x14ac:dyDescent="0.25">
      <c r="A24" s="5" t="s">
        <v>9</v>
      </c>
      <c r="B24" s="4" t="str">
        <f>VLOOKUP(A24, 'Business Summary'!A:B, 2, FALSE)</f>
        <v>all MEMBER(S)</v>
      </c>
    </row>
    <row r="25" spans="1:2" x14ac:dyDescent="0.25">
      <c r="A25" s="5" t="s">
        <v>150</v>
      </c>
      <c r="B25" s="4" t="str">
        <f>VLOOKUP(A25, 'Business Summary'!A:B, 2, FALSE)</f>
        <v>123 Main Rd, Test, NJ 10001</v>
      </c>
    </row>
    <row r="26" spans="1:2" x14ac:dyDescent="0.25">
      <c r="A26" s="5" t="s">
        <v>148</v>
      </c>
      <c r="B26" s="4" t="str">
        <f>VLOOKUP(A26, 'Business Summary'!A:B, 2, FALSE)</f>
        <v>123 Main Rd, Test, NJ 10001</v>
      </c>
    </row>
    <row r="27" spans="1:2" x14ac:dyDescent="0.25">
      <c r="A27" s="2" t="s">
        <v>38</v>
      </c>
      <c r="B27" t="s">
        <v>143</v>
      </c>
    </row>
    <row r="28" spans="1:2" x14ac:dyDescent="0.25">
      <c r="A28" t="s">
        <v>149</v>
      </c>
      <c r="B28" s="1">
        <v>45839</v>
      </c>
    </row>
    <row r="29" spans="1:2" x14ac:dyDescent="0.25">
      <c r="A29" t="s">
        <v>151</v>
      </c>
      <c r="B29" t="s">
        <v>152</v>
      </c>
    </row>
    <row r="30" spans="1:2" x14ac:dyDescent="0.25">
      <c r="A30" t="s">
        <v>153</v>
      </c>
      <c r="B30" t="s">
        <v>154</v>
      </c>
    </row>
    <row r="31" spans="1:2" x14ac:dyDescent="0.25">
      <c r="A31" t="s">
        <v>155</v>
      </c>
    </row>
    <row r="32" spans="1:2" x14ac:dyDescent="0.25">
      <c r="A32" t="s">
        <v>22</v>
      </c>
      <c r="B32" s="1">
        <v>45839</v>
      </c>
    </row>
    <row r="33" spans="1:2" x14ac:dyDescent="0.25">
      <c r="A33" t="s">
        <v>156</v>
      </c>
      <c r="B33">
        <v>1120</v>
      </c>
    </row>
    <row r="34" spans="1:2" x14ac:dyDescent="0.25">
      <c r="A34" t="s">
        <v>157</v>
      </c>
      <c r="B34" t="s">
        <v>2</v>
      </c>
    </row>
    <row r="35" spans="1:2" x14ac:dyDescent="0.25">
      <c r="A35" t="s">
        <v>158</v>
      </c>
      <c r="B35" t="s">
        <v>102</v>
      </c>
    </row>
    <row r="36" spans="1:2" x14ac:dyDescent="0.25">
      <c r="A36" t="s">
        <v>159</v>
      </c>
      <c r="B36" t="s">
        <v>103</v>
      </c>
    </row>
    <row r="37" spans="1:2" x14ac:dyDescent="0.25">
      <c r="A37" t="s">
        <v>160</v>
      </c>
      <c r="B37" t="s">
        <v>147</v>
      </c>
    </row>
    <row r="38" spans="1:2" x14ac:dyDescent="0.25">
      <c r="A38" t="s">
        <v>161</v>
      </c>
      <c r="B38" t="s">
        <v>166</v>
      </c>
    </row>
    <row r="39" spans="1:2" x14ac:dyDescent="0.25">
      <c r="A39" t="s">
        <v>168</v>
      </c>
      <c r="B39" t="s">
        <v>169</v>
      </c>
    </row>
    <row r="40" spans="1:2" x14ac:dyDescent="0.25">
      <c r="A40" t="s">
        <v>162</v>
      </c>
      <c r="B40" s="2" t="s">
        <v>165</v>
      </c>
    </row>
    <row r="41" spans="1:2" x14ac:dyDescent="0.25">
      <c r="A41" t="s">
        <v>163</v>
      </c>
      <c r="B41">
        <v>101101101</v>
      </c>
    </row>
    <row r="42" spans="1:2" x14ac:dyDescent="0.25">
      <c r="A42" t="s">
        <v>164</v>
      </c>
      <c r="B42" t="s">
        <v>167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1947A-3270-45F9-A588-EF98ADB0272D}">
  <sheetPr codeName="Sheet3"/>
  <dimension ref="A1:B25"/>
  <sheetViews>
    <sheetView workbookViewId="0">
      <selection activeCell="B21" sqref="B21"/>
    </sheetView>
  </sheetViews>
  <sheetFormatPr defaultRowHeight="15" x14ac:dyDescent="0.25"/>
  <cols>
    <col min="1" max="2" width="37.140625" customWidth="1"/>
  </cols>
  <sheetData>
    <row r="1" spans="1:2" x14ac:dyDescent="0.25">
      <c r="A1" s="5" t="s">
        <v>23</v>
      </c>
      <c r="B1" s="4" t="str">
        <f>VLOOKUP(A1, 'Business Summary'!A:B, 2, FALSE)</f>
        <v>NJ9999</v>
      </c>
    </row>
    <row r="2" spans="1:2" x14ac:dyDescent="0.25">
      <c r="A2" s="5" t="s">
        <v>16</v>
      </c>
      <c r="B2" s="4" t="str">
        <f>VLOOKUP(A2, 'Business Summary'!A:B, 2, FALSE)</f>
        <v>Test LLC</v>
      </c>
    </row>
    <row r="3" spans="1:2" x14ac:dyDescent="0.25">
      <c r="A3" s="5" t="s">
        <v>17</v>
      </c>
      <c r="B3" s="4" t="str">
        <f>VLOOKUP(A3, 'Business Summary'!A:B, 2, FALSE)</f>
        <v>123 Main Rd</v>
      </c>
    </row>
    <row r="4" spans="1:2" x14ac:dyDescent="0.25">
      <c r="A4" s="5" t="s">
        <v>89</v>
      </c>
      <c r="B4" s="4" t="str">
        <f>VLOOKUP(A4, 'Business Summary'!A:B, 2, FALSE)</f>
        <v>Test</v>
      </c>
    </row>
    <row r="5" spans="1:2" x14ac:dyDescent="0.25">
      <c r="A5" s="5" t="s">
        <v>90</v>
      </c>
      <c r="B5" s="4" t="str">
        <f>VLOOKUP(A5, 'Business Summary'!A:B, 2, FALSE)</f>
        <v>NJ</v>
      </c>
    </row>
    <row r="6" spans="1:2" x14ac:dyDescent="0.25">
      <c r="A6" s="5" t="s">
        <v>91</v>
      </c>
      <c r="B6" s="4">
        <f>VLOOKUP(A6, 'Business Summary'!A:B, 2, FALSE)</f>
        <v>10001</v>
      </c>
    </row>
    <row r="7" spans="1:2" x14ac:dyDescent="0.25">
      <c r="A7" s="5" t="s">
        <v>18</v>
      </c>
      <c r="B7" s="4" t="str">
        <f>VLOOKUP(A7, 'Business Summary'!A:B, 2, FALSE)</f>
        <v>Test, NJ 10001</v>
      </c>
    </row>
    <row r="8" spans="1:2" x14ac:dyDescent="0.25">
      <c r="A8" s="5" t="s">
        <v>19</v>
      </c>
      <c r="B8" s="4" t="str">
        <f>VLOOKUP(A8, 'Business Summary'!A:B, 2, FALSE)</f>
        <v>12-3456789</v>
      </c>
    </row>
    <row r="9" spans="1:2" x14ac:dyDescent="0.25">
      <c r="A9" s="5" t="s">
        <v>20</v>
      </c>
      <c r="B9" s="4" t="str">
        <f>VLOOKUP(A9, 'Business Summary'!A:B, 2, FALSE)</f>
        <v>07/14/2025</v>
      </c>
    </row>
    <row r="10" spans="1:2" x14ac:dyDescent="0.25">
      <c r="A10" s="5" t="s">
        <v>37</v>
      </c>
      <c r="B10" s="4" t="str">
        <f>VLOOKUP(A10, 'Business Summary'!A:B, 2, FALSE)</f>
        <v>John Doe</v>
      </c>
    </row>
    <row r="11" spans="1:2" x14ac:dyDescent="0.25">
      <c r="A11" s="5" t="s">
        <v>109</v>
      </c>
      <c r="B11" s="4" t="str">
        <f>VLOOKUP(A11, 'Business Summary'!A:B, 2, FALSE)</f>
        <v>123 Main Rd</v>
      </c>
    </row>
    <row r="12" spans="1:2" x14ac:dyDescent="0.25">
      <c r="A12" s="5" t="s">
        <v>110</v>
      </c>
      <c r="B12" s="4" t="str">
        <f>VLOOKUP(A12, 'Business Summary'!A:B, 2, FALSE)</f>
        <v>Test, NJ 10001</v>
      </c>
    </row>
    <row r="13" spans="1:2" x14ac:dyDescent="0.25">
      <c r="A13" s="5" t="s">
        <v>21</v>
      </c>
      <c r="B13" s="4" t="str">
        <f>VLOOKUP(A13, 'Business Summary'!A:B, 2, FALSE)</f>
        <v>123-45-6789</v>
      </c>
    </row>
    <row r="14" spans="1:2" x14ac:dyDescent="0.25">
      <c r="A14" s="5" t="s">
        <v>88</v>
      </c>
      <c r="B14" s="4" t="str">
        <f>VLOOKUP(A14, 'Business Summary'!A:B, 2, FALSE)</f>
        <v>Test@email.com</v>
      </c>
    </row>
    <row r="15" spans="1:2" x14ac:dyDescent="0.25">
      <c r="A15" s="5" t="s">
        <v>108</v>
      </c>
      <c r="B15" s="4" t="str">
        <f>VLOOKUP(A15, 'Business Summary'!A:B, 2, FALSE)</f>
        <v>(123) 456-7890</v>
      </c>
    </row>
    <row r="16" spans="1:2" x14ac:dyDescent="0.25">
      <c r="A16" s="5" t="s">
        <v>28</v>
      </c>
      <c r="B16" s="4" t="str">
        <f>VLOOKUP(A16, 'Business Summary'!A:B, 2, FALSE)</f>
        <v>Bergen</v>
      </c>
    </row>
    <row r="17" spans="1:2" x14ac:dyDescent="0.25">
      <c r="A17" s="5" t="s">
        <v>24</v>
      </c>
      <c r="B17" s="4" t="str">
        <f>VLOOKUP(A17, 'Business Summary'!A:B, 2, FALSE)</f>
        <v>NJ</v>
      </c>
    </row>
    <row r="18" spans="1:2" x14ac:dyDescent="0.25">
      <c r="A18" s="5" t="s">
        <v>25</v>
      </c>
      <c r="B18" s="4" t="str">
        <f>VLOOKUP(A18, 'Business Summary'!A:B, 2, FALSE)</f>
        <v>Domestic LLC</v>
      </c>
    </row>
    <row r="19" spans="1:2" x14ac:dyDescent="0.25">
      <c r="A19" s="5" t="s">
        <v>8</v>
      </c>
      <c r="B19" s="4" t="str">
        <f>VLOOKUP(A19, 'Business Summary'!A:B, 2, FALSE)</f>
        <v>Managing Member</v>
      </c>
    </row>
    <row r="20" spans="1:2" x14ac:dyDescent="0.25">
      <c r="A20" s="5" t="s">
        <v>9</v>
      </c>
      <c r="B20" s="4" t="str">
        <f>VLOOKUP(A20, 'Business Summary'!A:B, 2, FALSE)</f>
        <v>all MEMBER(S)</v>
      </c>
    </row>
    <row r="21" spans="1:2" x14ac:dyDescent="0.25">
      <c r="A21" s="2" t="s">
        <v>38</v>
      </c>
      <c r="B21" s="2" t="s">
        <v>39</v>
      </c>
    </row>
    <row r="22" spans="1:2" x14ac:dyDescent="0.25">
      <c r="A22" s="2" t="s">
        <v>12</v>
      </c>
      <c r="B22" s="2" t="s">
        <v>14</v>
      </c>
    </row>
    <row r="23" spans="1:2" x14ac:dyDescent="0.25">
      <c r="A23" s="2" t="s">
        <v>22</v>
      </c>
      <c r="B23" s="2" t="s">
        <v>40</v>
      </c>
    </row>
    <row r="24" spans="1:2" x14ac:dyDescent="0.25">
      <c r="A24" s="2" t="s">
        <v>138</v>
      </c>
      <c r="B24" s="2" t="s">
        <v>7</v>
      </c>
    </row>
    <row r="25" spans="1:2" x14ac:dyDescent="0.25">
      <c r="A25" s="2" t="s">
        <v>111</v>
      </c>
      <c r="B25" s="2" t="s">
        <v>142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274F8-C779-41B6-91AD-8BBA664E1D05}">
  <sheetPr codeName="Sheet4"/>
  <dimension ref="A1:F91"/>
  <sheetViews>
    <sheetView tabSelected="1" topLeftCell="A49" workbookViewId="0">
      <selection activeCell="B79" sqref="B79"/>
    </sheetView>
  </sheetViews>
  <sheetFormatPr defaultRowHeight="15" x14ac:dyDescent="0.25"/>
  <cols>
    <col min="1" max="2" width="49.5703125" customWidth="1"/>
  </cols>
  <sheetData>
    <row r="1" spans="1:2" x14ac:dyDescent="0.25">
      <c r="A1" s="5" t="s">
        <v>23</v>
      </c>
      <c r="B1" s="4" t="str">
        <f>VLOOKUP(A1, 'Business Summary'!A:B, 2, FALSE)</f>
        <v>NJ9999</v>
      </c>
    </row>
    <row r="2" spans="1:2" x14ac:dyDescent="0.25">
      <c r="A2" s="5" t="s">
        <v>16</v>
      </c>
      <c r="B2" s="4" t="str">
        <f>VLOOKUP(A2, 'Business Summary'!A:B, 2, FALSE)</f>
        <v>Test LLC</v>
      </c>
    </row>
    <row r="3" spans="1:2" x14ac:dyDescent="0.25">
      <c r="A3" s="5" t="s">
        <v>17</v>
      </c>
      <c r="B3" s="4" t="str">
        <f>VLOOKUP(A3, 'Business Summary'!A:B, 2, FALSE)</f>
        <v>123 Main Rd</v>
      </c>
    </row>
    <row r="4" spans="1:2" x14ac:dyDescent="0.25">
      <c r="A4" s="5" t="s">
        <v>89</v>
      </c>
      <c r="B4" s="4" t="str">
        <f>VLOOKUP(A4, 'Business Summary'!A:B, 2, FALSE)</f>
        <v>Test</v>
      </c>
    </row>
    <row r="5" spans="1:2" x14ac:dyDescent="0.25">
      <c r="A5" s="5" t="s">
        <v>90</v>
      </c>
      <c r="B5" s="4" t="str">
        <f>VLOOKUP(A5, 'Business Summary'!A:B, 2, FALSE)</f>
        <v>NJ</v>
      </c>
    </row>
    <row r="6" spans="1:2" x14ac:dyDescent="0.25">
      <c r="A6" s="5" t="s">
        <v>91</v>
      </c>
      <c r="B6" s="4">
        <f>VLOOKUP(A6, 'Business Summary'!A:B, 2, FALSE)</f>
        <v>10001</v>
      </c>
    </row>
    <row r="7" spans="1:2" x14ac:dyDescent="0.25">
      <c r="A7" s="5" t="s">
        <v>18</v>
      </c>
      <c r="B7" s="4" t="str">
        <f>VLOOKUP(A7, 'Business Summary'!A:B, 2, FALSE)</f>
        <v>Test, NJ 10001</v>
      </c>
    </row>
    <row r="8" spans="1:2" x14ac:dyDescent="0.25">
      <c r="A8" s="5" t="s">
        <v>19</v>
      </c>
      <c r="B8" s="4" t="str">
        <f>VLOOKUP(A8, 'Business Summary'!A:B, 2, FALSE)</f>
        <v>12-3456789</v>
      </c>
    </row>
    <row r="9" spans="1:2" x14ac:dyDescent="0.25">
      <c r="A9" s="5" t="s">
        <v>20</v>
      </c>
      <c r="B9" s="4" t="str">
        <f>VLOOKUP(A9, 'Business Summary'!A:B, 2, FALSE)</f>
        <v>07/14/2025</v>
      </c>
    </row>
    <row r="10" spans="1:2" x14ac:dyDescent="0.25">
      <c r="A10" s="5" t="s">
        <v>37</v>
      </c>
      <c r="B10" s="4" t="str">
        <f>VLOOKUP(A10, 'Business Summary'!A:B, 2, FALSE)</f>
        <v>John Doe</v>
      </c>
    </row>
    <row r="11" spans="1:2" x14ac:dyDescent="0.25">
      <c r="A11" s="5" t="s">
        <v>109</v>
      </c>
      <c r="B11" s="4" t="str">
        <f>VLOOKUP(A11, 'Business Summary'!A:B, 2, FALSE)</f>
        <v>123 Main Rd</v>
      </c>
    </row>
    <row r="12" spans="1:2" x14ac:dyDescent="0.25">
      <c r="A12" s="5" t="s">
        <v>110</v>
      </c>
      <c r="B12" s="4" t="str">
        <f>VLOOKUP(A12, 'Business Summary'!A:B, 2, FALSE)</f>
        <v>Test, NJ 10001</v>
      </c>
    </row>
    <row r="13" spans="1:2" x14ac:dyDescent="0.25">
      <c r="A13" s="5" t="s">
        <v>21</v>
      </c>
      <c r="B13" s="4" t="str">
        <f>VLOOKUP(A13, 'Business Summary'!A:B, 2, FALSE)</f>
        <v>123-45-6789</v>
      </c>
    </row>
    <row r="14" spans="1:2" x14ac:dyDescent="0.25">
      <c r="A14" s="5" t="s">
        <v>88</v>
      </c>
      <c r="B14" s="4" t="str">
        <f>VLOOKUP(A14, 'Business Summary'!A:B, 2, FALSE)</f>
        <v>Test@email.com</v>
      </c>
    </row>
    <row r="15" spans="1:2" x14ac:dyDescent="0.25">
      <c r="A15" s="5" t="s">
        <v>41</v>
      </c>
      <c r="B15" s="4" t="str">
        <f>VLOOKUP(A15, 'Business Summary'!A:B, 2, FALSE)</f>
        <v>1/1/2020</v>
      </c>
    </row>
    <row r="16" spans="1:2" x14ac:dyDescent="0.25">
      <c r="A16" s="5" t="s">
        <v>28</v>
      </c>
      <c r="B16" s="4" t="str">
        <f>VLOOKUP(A16, 'Business Summary'!A:B, 2, FALSE)</f>
        <v>Bergen</v>
      </c>
    </row>
    <row r="17" spans="1:6" x14ac:dyDescent="0.25">
      <c r="A17" s="5" t="s">
        <v>24</v>
      </c>
      <c r="B17" s="4" t="str">
        <f>VLOOKUP(A17, 'Business Summary'!A:B, 2, FALSE)</f>
        <v>NJ</v>
      </c>
    </row>
    <row r="18" spans="1:6" x14ac:dyDescent="0.25">
      <c r="A18" s="5" t="s">
        <v>25</v>
      </c>
      <c r="B18" s="4" t="str">
        <f>VLOOKUP(A18, 'Business Summary'!A:B, 2, FALSE)</f>
        <v>Domestic LLC</v>
      </c>
    </row>
    <row r="19" spans="1:6" x14ac:dyDescent="0.25">
      <c r="A19" s="5" t="s">
        <v>8</v>
      </c>
      <c r="B19" s="4" t="str">
        <f>VLOOKUP(A19, 'Business Summary'!A:B, 2, FALSE)</f>
        <v>Managing Member</v>
      </c>
    </row>
    <row r="20" spans="1:6" x14ac:dyDescent="0.25">
      <c r="A20" s="5" t="s">
        <v>9</v>
      </c>
      <c r="B20" s="4" t="str">
        <f>VLOOKUP(A20, 'Business Summary'!A:B, 2, FALSE)</f>
        <v>all MEMBER(S)</v>
      </c>
    </row>
    <row r="21" spans="1:6" x14ac:dyDescent="0.25">
      <c r="A21" s="4" t="s">
        <v>107</v>
      </c>
      <c r="B21" s="4" t="str">
        <f>VLOOKUP(A21, 'Business Summary'!A:B, 2, FALSE)</f>
        <v>123</v>
      </c>
    </row>
    <row r="22" spans="1:6" x14ac:dyDescent="0.25">
      <c r="A22" s="4" t="s">
        <v>106</v>
      </c>
      <c r="B22" s="4" t="str">
        <f>VLOOKUP(A22, 'Business Summary'!A:B, 2, FALSE)</f>
        <v>456-7890</v>
      </c>
    </row>
    <row r="23" spans="1:6" x14ac:dyDescent="0.25">
      <c r="A23" s="4" t="s">
        <v>108</v>
      </c>
      <c r="B23" s="4" t="str">
        <f>VLOOKUP(A23, 'Business Summary'!A:B, 2, FALSE)</f>
        <v>(123) 456-7890</v>
      </c>
    </row>
    <row r="24" spans="1:6" x14ac:dyDescent="0.25">
      <c r="A24" s="4" t="s">
        <v>112</v>
      </c>
      <c r="B24" s="4" t="str">
        <f>VLOOKUP(A24, 'Business Summary'!A:B, 2, FALSE)</f>
        <v>Test Accounting Inc</v>
      </c>
    </row>
    <row r="25" spans="1:6" x14ac:dyDescent="0.25">
      <c r="A25" s="4" t="s">
        <v>116</v>
      </c>
      <c r="B25" s="4" t="str">
        <f>VLOOKUP(A25, 'Business Summary'!A:B, 2, FALSE)</f>
        <v>9876543-21</v>
      </c>
    </row>
    <row r="26" spans="1:6" x14ac:dyDescent="0.25">
      <c r="A26" s="4" t="s">
        <v>117</v>
      </c>
      <c r="B26" s="4" t="str">
        <f>VLOOKUP(A26, 'Business Summary'!A:B, 2, FALSE)</f>
        <v>100 5th Ave</v>
      </c>
    </row>
    <row r="27" spans="1:6" x14ac:dyDescent="0.25">
      <c r="A27" s="4" t="s">
        <v>118</v>
      </c>
      <c r="B27" s="4" t="str">
        <f>VLOOKUP(A27, 'Business Summary'!A:B, 2, FALSE)</f>
        <v>New York</v>
      </c>
    </row>
    <row r="28" spans="1:6" x14ac:dyDescent="0.25">
      <c r="A28" s="4" t="s">
        <v>119</v>
      </c>
      <c r="B28" s="4" t="str">
        <f>VLOOKUP(A28, 'Business Summary'!A:B, 2, FALSE)</f>
        <v>NY</v>
      </c>
    </row>
    <row r="29" spans="1:6" x14ac:dyDescent="0.25">
      <c r="A29" s="4" t="s">
        <v>120</v>
      </c>
      <c r="B29" s="4">
        <f>VLOOKUP(A29, 'Business Summary'!A:B, 2, FALSE)</f>
        <v>10001</v>
      </c>
    </row>
    <row r="30" spans="1:6" x14ac:dyDescent="0.25">
      <c r="A30" s="4" t="s">
        <v>121</v>
      </c>
      <c r="B30" s="4" t="str">
        <f>VLOOKUP(A30, 'Business Summary'!A:B, 2, FALSE)</f>
        <v>New York, NY 10001</v>
      </c>
    </row>
    <row r="31" spans="1:6" x14ac:dyDescent="0.25">
      <c r="A31" s="4" t="s">
        <v>122</v>
      </c>
      <c r="B31" s="4" t="str">
        <f>VLOOKUP(A31, 'Business Summary'!A:B, 2, FALSE)</f>
        <v>James Dome</v>
      </c>
      <c r="F31" s="3"/>
    </row>
    <row r="32" spans="1:6" x14ac:dyDescent="0.25">
      <c r="A32" s="4" t="s">
        <v>93</v>
      </c>
      <c r="B32" s="4" t="str">
        <f>VLOOKUP(A32, 'Business Summary'!A:B, 2, FALSE)</f>
        <v>111-11-1111</v>
      </c>
    </row>
    <row r="33" spans="1:2" x14ac:dyDescent="0.25">
      <c r="A33" s="4" t="s">
        <v>123</v>
      </c>
      <c r="B33" s="4" t="str">
        <f>VLOOKUP(A33, 'Business Summary'!A:B, 2, FALSE)</f>
        <v>jamesdome@acctg.com</v>
      </c>
    </row>
    <row r="34" spans="1:2" x14ac:dyDescent="0.25">
      <c r="A34" s="4" t="s">
        <v>124</v>
      </c>
      <c r="B34" s="4" t="str">
        <f>VLOOKUP(A34, 'Business Summary'!A:B, 2, FALSE)</f>
        <v>222-22-2222</v>
      </c>
    </row>
    <row r="35" spans="1:2" x14ac:dyDescent="0.25">
      <c r="A35" t="s">
        <v>38</v>
      </c>
      <c r="B35" s="2" t="s">
        <v>134</v>
      </c>
    </row>
    <row r="36" spans="1:2" x14ac:dyDescent="0.25">
      <c r="A36" t="s">
        <v>22</v>
      </c>
      <c r="B36" s="2" t="s">
        <v>136</v>
      </c>
    </row>
    <row r="37" spans="1:2" x14ac:dyDescent="0.25">
      <c r="A37" t="s">
        <v>92</v>
      </c>
      <c r="B37" s="2" t="s">
        <v>135</v>
      </c>
    </row>
    <row r="38" spans="1:2" x14ac:dyDescent="0.25">
      <c r="A38" t="s">
        <v>101</v>
      </c>
      <c r="B38" s="2" t="s">
        <v>141</v>
      </c>
    </row>
    <row r="39" spans="1:2" x14ac:dyDescent="0.25">
      <c r="A39" t="s">
        <v>94</v>
      </c>
    </row>
    <row r="40" spans="1:2" x14ac:dyDescent="0.25">
      <c r="A40" t="s">
        <v>95</v>
      </c>
      <c r="B40" s="2">
        <v>2</v>
      </c>
    </row>
    <row r="41" spans="1:2" x14ac:dyDescent="0.25">
      <c r="A41" t="s">
        <v>96</v>
      </c>
      <c r="B41" s="2"/>
    </row>
    <row r="42" spans="1:2" x14ac:dyDescent="0.25">
      <c r="A42" t="s">
        <v>97</v>
      </c>
      <c r="B42" s="2"/>
    </row>
    <row r="43" spans="1:2" x14ac:dyDescent="0.25">
      <c r="A43" t="s">
        <v>43</v>
      </c>
      <c r="B43" s="2" t="s">
        <v>5</v>
      </c>
    </row>
    <row r="44" spans="1:2" x14ac:dyDescent="0.25">
      <c r="A44" t="s">
        <v>58</v>
      </c>
      <c r="B44" s="2" t="s">
        <v>2</v>
      </c>
    </row>
    <row r="45" spans="1:2" x14ac:dyDescent="0.25">
      <c r="A45" t="s">
        <v>59</v>
      </c>
      <c r="B45" s="2" t="s">
        <v>3</v>
      </c>
    </row>
    <row r="46" spans="1:2" x14ac:dyDescent="0.25">
      <c r="A46" t="s">
        <v>42</v>
      </c>
      <c r="B46" s="2" t="s">
        <v>137</v>
      </c>
    </row>
    <row r="47" spans="1:2" x14ac:dyDescent="0.25">
      <c r="A47" t="s">
        <v>76</v>
      </c>
      <c r="B47" s="2" t="s">
        <v>141</v>
      </c>
    </row>
    <row r="48" spans="1:2" x14ac:dyDescent="0.25">
      <c r="A48" t="s">
        <v>44</v>
      </c>
      <c r="B48" s="2" t="s">
        <v>6</v>
      </c>
    </row>
    <row r="49" spans="1:2" x14ac:dyDescent="0.25">
      <c r="A49" t="s">
        <v>45</v>
      </c>
      <c r="B49" s="2" t="s">
        <v>135</v>
      </c>
    </row>
    <row r="50" spans="1:2" x14ac:dyDescent="0.25">
      <c r="A50" t="s">
        <v>60</v>
      </c>
      <c r="B50" s="2" t="s">
        <v>7</v>
      </c>
    </row>
    <row r="51" spans="1:2" x14ac:dyDescent="0.25">
      <c r="A51" t="s">
        <v>61</v>
      </c>
      <c r="B51" s="2" t="s">
        <v>2</v>
      </c>
    </row>
    <row r="52" spans="1:2" x14ac:dyDescent="0.25">
      <c r="A52" t="s">
        <v>62</v>
      </c>
      <c r="B52" s="2" t="s">
        <v>3</v>
      </c>
    </row>
    <row r="53" spans="1:2" x14ac:dyDescent="0.25">
      <c r="A53" t="s">
        <v>77</v>
      </c>
      <c r="B53" s="2" t="s">
        <v>137</v>
      </c>
    </row>
    <row r="54" spans="1:2" x14ac:dyDescent="0.25">
      <c r="A54" t="s">
        <v>78</v>
      </c>
      <c r="B54" s="2" t="s">
        <v>141</v>
      </c>
    </row>
    <row r="55" spans="1:2" x14ac:dyDescent="0.25">
      <c r="A55" t="s">
        <v>46</v>
      </c>
      <c r="B55" s="2" t="s">
        <v>142</v>
      </c>
    </row>
    <row r="56" spans="1:2" x14ac:dyDescent="0.25">
      <c r="A56" t="s">
        <v>47</v>
      </c>
      <c r="B56" s="2" t="s">
        <v>135</v>
      </c>
    </row>
    <row r="57" spans="1:2" x14ac:dyDescent="0.25">
      <c r="A57" t="s">
        <v>98</v>
      </c>
    </row>
    <row r="58" spans="1:2" x14ac:dyDescent="0.25">
      <c r="A58" t="s">
        <v>99</v>
      </c>
    </row>
    <row r="59" spans="1:2" x14ac:dyDescent="0.25">
      <c r="A59" t="s">
        <v>63</v>
      </c>
    </row>
    <row r="60" spans="1:2" x14ac:dyDescent="0.25">
      <c r="A60" t="s">
        <v>100</v>
      </c>
    </row>
    <row r="61" spans="1:2" x14ac:dyDescent="0.25">
      <c r="A61" t="s">
        <v>79</v>
      </c>
    </row>
    <row r="62" spans="1:2" x14ac:dyDescent="0.25">
      <c r="A62" t="s">
        <v>48</v>
      </c>
    </row>
    <row r="63" spans="1:2" x14ac:dyDescent="0.25">
      <c r="A63" t="s">
        <v>49</v>
      </c>
    </row>
    <row r="64" spans="1:2" x14ac:dyDescent="0.25">
      <c r="A64" t="s">
        <v>64</v>
      </c>
    </row>
    <row r="65" spans="1:1" x14ac:dyDescent="0.25">
      <c r="A65" t="s">
        <v>65</v>
      </c>
    </row>
    <row r="66" spans="1:1" x14ac:dyDescent="0.25">
      <c r="A66" t="s">
        <v>66</v>
      </c>
    </row>
    <row r="67" spans="1:1" x14ac:dyDescent="0.25">
      <c r="A67" t="s">
        <v>80</v>
      </c>
    </row>
    <row r="68" spans="1:1" x14ac:dyDescent="0.25">
      <c r="A68" t="s">
        <v>81</v>
      </c>
    </row>
    <row r="69" spans="1:1" x14ac:dyDescent="0.25">
      <c r="A69" t="s">
        <v>50</v>
      </c>
    </row>
    <row r="70" spans="1:1" x14ac:dyDescent="0.25">
      <c r="A70" t="s">
        <v>51</v>
      </c>
    </row>
    <row r="71" spans="1:1" x14ac:dyDescent="0.25">
      <c r="A71" t="s">
        <v>67</v>
      </c>
    </row>
    <row r="72" spans="1:1" x14ac:dyDescent="0.25">
      <c r="A72" t="s">
        <v>68</v>
      </c>
    </row>
    <row r="73" spans="1:1" x14ac:dyDescent="0.25">
      <c r="A73" t="s">
        <v>69</v>
      </c>
    </row>
    <row r="74" spans="1:1" x14ac:dyDescent="0.25">
      <c r="A74" t="s">
        <v>82</v>
      </c>
    </row>
    <row r="75" spans="1:1" x14ac:dyDescent="0.25">
      <c r="A75" t="s">
        <v>83</v>
      </c>
    </row>
    <row r="76" spans="1:1" x14ac:dyDescent="0.25">
      <c r="A76" t="s">
        <v>52</v>
      </c>
    </row>
    <row r="77" spans="1:1" x14ac:dyDescent="0.25">
      <c r="A77" t="s">
        <v>53</v>
      </c>
    </row>
    <row r="78" spans="1:1" x14ac:dyDescent="0.25">
      <c r="A78" t="s">
        <v>70</v>
      </c>
    </row>
    <row r="79" spans="1:1" x14ac:dyDescent="0.25">
      <c r="A79" t="s">
        <v>71</v>
      </c>
    </row>
    <row r="80" spans="1:1" x14ac:dyDescent="0.25">
      <c r="A80" t="s">
        <v>72</v>
      </c>
    </row>
    <row r="81" spans="1:1" x14ac:dyDescent="0.25">
      <c r="A81" t="s">
        <v>84</v>
      </c>
    </row>
    <row r="82" spans="1:1" x14ac:dyDescent="0.25">
      <c r="A82" t="s">
        <v>85</v>
      </c>
    </row>
    <row r="83" spans="1:1" x14ac:dyDescent="0.25">
      <c r="A83" t="s">
        <v>54</v>
      </c>
    </row>
    <row r="84" spans="1:1" x14ac:dyDescent="0.25">
      <c r="A84" t="s">
        <v>55</v>
      </c>
    </row>
    <row r="85" spans="1:1" x14ac:dyDescent="0.25">
      <c r="A85" t="s">
        <v>73</v>
      </c>
    </row>
    <row r="86" spans="1:1" x14ac:dyDescent="0.25">
      <c r="A86" t="s">
        <v>74</v>
      </c>
    </row>
    <row r="87" spans="1:1" x14ac:dyDescent="0.25">
      <c r="A87" t="s">
        <v>75</v>
      </c>
    </row>
    <row r="88" spans="1:1" x14ac:dyDescent="0.25">
      <c r="A88" t="s">
        <v>86</v>
      </c>
    </row>
    <row r="89" spans="1:1" x14ac:dyDescent="0.25">
      <c r="A89" t="s">
        <v>87</v>
      </c>
    </row>
    <row r="90" spans="1:1" x14ac:dyDescent="0.25">
      <c r="A90" t="s">
        <v>56</v>
      </c>
    </row>
    <row r="91" spans="1:1" x14ac:dyDescent="0.25">
      <c r="A91" t="s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E2816-5E22-4D07-93E1-BB40FF614E1F}">
  <sheetPr codeName="Sheet5"/>
  <dimension ref="A1:B28"/>
  <sheetViews>
    <sheetView workbookViewId="0">
      <selection activeCell="D23" sqref="D23"/>
    </sheetView>
  </sheetViews>
  <sheetFormatPr defaultRowHeight="15" x14ac:dyDescent="0.25"/>
  <cols>
    <col min="1" max="2" width="37.140625" customWidth="1"/>
  </cols>
  <sheetData>
    <row r="1" spans="1:2" x14ac:dyDescent="0.25">
      <c r="A1" s="5" t="s">
        <v>23</v>
      </c>
      <c r="B1" s="4" t="str">
        <f>VLOOKUP(A1, 'Business Summary'!A:B, 2, FALSE)</f>
        <v>NJ9999</v>
      </c>
    </row>
    <row r="2" spans="1:2" x14ac:dyDescent="0.25">
      <c r="A2" s="5" t="s">
        <v>16</v>
      </c>
      <c r="B2" s="4" t="str">
        <f>VLOOKUP(A2, 'Business Summary'!A:B, 2, FALSE)</f>
        <v>Test LLC</v>
      </c>
    </row>
    <row r="3" spans="1:2" x14ac:dyDescent="0.25">
      <c r="A3" s="5" t="s">
        <v>17</v>
      </c>
      <c r="B3" s="4" t="str">
        <f>VLOOKUP(A3, 'Business Summary'!A:B, 2, FALSE)</f>
        <v>123 Main Rd</v>
      </c>
    </row>
    <row r="4" spans="1:2" x14ac:dyDescent="0.25">
      <c r="A4" s="5" t="s">
        <v>89</v>
      </c>
      <c r="B4" s="4" t="str">
        <f>VLOOKUP(A4, 'Business Summary'!A:B, 2, FALSE)</f>
        <v>Test</v>
      </c>
    </row>
    <row r="5" spans="1:2" x14ac:dyDescent="0.25">
      <c r="A5" s="5" t="s">
        <v>90</v>
      </c>
      <c r="B5" s="4" t="str">
        <f>VLOOKUP(A5, 'Business Summary'!A:B, 2, FALSE)</f>
        <v>NJ</v>
      </c>
    </row>
    <row r="6" spans="1:2" x14ac:dyDescent="0.25">
      <c r="A6" s="5" t="s">
        <v>91</v>
      </c>
      <c r="B6" s="4">
        <f>VLOOKUP(A6, 'Business Summary'!A:B, 2, FALSE)</f>
        <v>10001</v>
      </c>
    </row>
    <row r="7" spans="1:2" x14ac:dyDescent="0.25">
      <c r="A7" s="5" t="s">
        <v>18</v>
      </c>
      <c r="B7" s="4" t="str">
        <f>VLOOKUP(A7, 'Business Summary'!A:B, 2, FALSE)</f>
        <v>Test, NJ 10001</v>
      </c>
    </row>
    <row r="8" spans="1:2" x14ac:dyDescent="0.25">
      <c r="A8" s="5" t="s">
        <v>19</v>
      </c>
      <c r="B8" s="4" t="str">
        <f>VLOOKUP(A8, 'Business Summary'!A:B, 2, FALSE)</f>
        <v>12-3456789</v>
      </c>
    </row>
    <row r="9" spans="1:2" x14ac:dyDescent="0.25">
      <c r="A9" s="5" t="s">
        <v>20</v>
      </c>
      <c r="B9" s="4" t="str">
        <f>VLOOKUP(A9, 'Business Summary'!A:B, 2, FALSE)</f>
        <v>07/14/2025</v>
      </c>
    </row>
    <row r="10" spans="1:2" x14ac:dyDescent="0.25">
      <c r="A10" s="5" t="s">
        <v>37</v>
      </c>
      <c r="B10" s="4" t="str">
        <f>VLOOKUP(A10, 'Business Summary'!A:B, 2, FALSE)</f>
        <v>John Doe</v>
      </c>
    </row>
    <row r="11" spans="1:2" x14ac:dyDescent="0.25">
      <c r="A11" s="5" t="s">
        <v>109</v>
      </c>
      <c r="B11" s="4" t="str">
        <f>VLOOKUP(A11, 'Business Summary'!A:B, 2, FALSE)</f>
        <v>123 Main Rd</v>
      </c>
    </row>
    <row r="12" spans="1:2" x14ac:dyDescent="0.25">
      <c r="A12" s="5" t="s">
        <v>110</v>
      </c>
      <c r="B12" s="4" t="str">
        <f>VLOOKUP(A12, 'Business Summary'!A:B, 2, FALSE)</f>
        <v>Test, NJ 10001</v>
      </c>
    </row>
    <row r="13" spans="1:2" x14ac:dyDescent="0.25">
      <c r="A13" s="5" t="s">
        <v>21</v>
      </c>
      <c r="B13" s="4" t="str">
        <f>VLOOKUP(A13, 'Business Summary'!A:B, 2, FALSE)</f>
        <v>123-45-6789</v>
      </c>
    </row>
    <row r="14" spans="1:2" x14ac:dyDescent="0.25">
      <c r="A14" s="5" t="s">
        <v>88</v>
      </c>
      <c r="B14" s="4" t="str">
        <f>VLOOKUP(A14, 'Business Summary'!A:B, 2, FALSE)</f>
        <v>Test@email.com</v>
      </c>
    </row>
    <row r="15" spans="1:2" x14ac:dyDescent="0.25">
      <c r="A15" s="5" t="s">
        <v>108</v>
      </c>
      <c r="B15" s="4" t="str">
        <f>VLOOKUP(A15, 'Business Summary'!A:B, 2, FALSE)</f>
        <v>(123) 456-7890</v>
      </c>
    </row>
    <row r="16" spans="1:2" x14ac:dyDescent="0.25">
      <c r="A16" s="5" t="s">
        <v>28</v>
      </c>
      <c r="B16" s="4" t="str">
        <f>VLOOKUP(A16, 'Business Summary'!A:B, 2, FALSE)</f>
        <v>Bergen</v>
      </c>
    </row>
    <row r="17" spans="1:2" x14ac:dyDescent="0.25">
      <c r="A17" s="5" t="s">
        <v>24</v>
      </c>
      <c r="B17" s="4" t="str">
        <f>VLOOKUP(A17, 'Business Summary'!A:B, 2, FALSE)</f>
        <v>NJ</v>
      </c>
    </row>
    <row r="18" spans="1:2" x14ac:dyDescent="0.25">
      <c r="A18" s="5" t="s">
        <v>25</v>
      </c>
      <c r="B18" s="4" t="str">
        <f>VLOOKUP(A18, 'Business Summary'!A:B, 2, FALSE)</f>
        <v>Domestic LLC</v>
      </c>
    </row>
    <row r="19" spans="1:2" x14ac:dyDescent="0.25">
      <c r="A19" s="5" t="s">
        <v>8</v>
      </c>
      <c r="B19" s="4" t="str">
        <f>VLOOKUP(A19, 'Business Summary'!A:B, 2, FALSE)</f>
        <v>Managing Member</v>
      </c>
    </row>
    <row r="20" spans="1:2" x14ac:dyDescent="0.25">
      <c r="A20" s="5" t="s">
        <v>9</v>
      </c>
      <c r="B20" s="4" t="str">
        <f>VLOOKUP(A20, 'Business Summary'!A:B, 2, FALSE)</f>
        <v>all MEMBER(S)</v>
      </c>
    </row>
    <row r="21" spans="1:2" x14ac:dyDescent="0.25">
      <c r="A21" t="s">
        <v>38</v>
      </c>
      <c r="B21" t="s">
        <v>199</v>
      </c>
    </row>
    <row r="22" spans="1:2" x14ac:dyDescent="0.25">
      <c r="A22" t="s">
        <v>15</v>
      </c>
      <c r="B22" t="s">
        <v>13</v>
      </c>
    </row>
    <row r="23" spans="1:2" x14ac:dyDescent="0.25">
      <c r="A23" t="s">
        <v>29</v>
      </c>
      <c r="B23" t="s">
        <v>30</v>
      </c>
    </row>
    <row r="24" spans="1:2" x14ac:dyDescent="0.25">
      <c r="A24" t="s">
        <v>27</v>
      </c>
      <c r="B24" s="1">
        <v>45838</v>
      </c>
    </row>
    <row r="25" spans="1:2" x14ac:dyDescent="0.25">
      <c r="A25" t="s">
        <v>33</v>
      </c>
      <c r="B25" t="s">
        <v>34</v>
      </c>
    </row>
    <row r="26" spans="1:2" x14ac:dyDescent="0.25">
      <c r="A26" t="s">
        <v>31</v>
      </c>
      <c r="B26" t="s">
        <v>32</v>
      </c>
    </row>
    <row r="27" spans="1:2" x14ac:dyDescent="0.25">
      <c r="A27" t="s">
        <v>35</v>
      </c>
      <c r="B27" t="s">
        <v>36</v>
      </c>
    </row>
    <row r="28" spans="1:2" x14ac:dyDescent="0.25">
      <c r="A28" t="s">
        <v>139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FE00C-0E52-4ED0-BB2E-35619DC1F048}">
  <sheetPr codeName="Sheet6"/>
  <dimension ref="A1:B28"/>
  <sheetViews>
    <sheetView workbookViewId="0">
      <selection activeCell="B1" sqref="B1:B1048576"/>
    </sheetView>
  </sheetViews>
  <sheetFormatPr defaultRowHeight="15" x14ac:dyDescent="0.25"/>
  <cols>
    <col min="1" max="1" width="43.140625" customWidth="1"/>
    <col min="2" max="2" width="37.7109375" customWidth="1"/>
  </cols>
  <sheetData>
    <row r="1" spans="1:2" x14ac:dyDescent="0.25">
      <c r="A1" s="5" t="s">
        <v>23</v>
      </c>
      <c r="B1" s="4" t="str">
        <f>VLOOKUP(A1, 'Business Summary'!A:B, 2, FALSE)</f>
        <v>NJ9999</v>
      </c>
    </row>
    <row r="2" spans="1:2" x14ac:dyDescent="0.25">
      <c r="A2" s="5" t="s">
        <v>16</v>
      </c>
      <c r="B2" s="4" t="str">
        <f>VLOOKUP(A2, 'Business Summary'!A:B, 2, FALSE)</f>
        <v>Test LLC</v>
      </c>
    </row>
    <row r="3" spans="1:2" x14ac:dyDescent="0.25">
      <c r="A3" s="5" t="s">
        <v>17</v>
      </c>
      <c r="B3" s="4" t="str">
        <f>VLOOKUP(A3, 'Business Summary'!A:B, 2, FALSE)</f>
        <v>123 Main Rd</v>
      </c>
    </row>
    <row r="4" spans="1:2" x14ac:dyDescent="0.25">
      <c r="A4" s="5" t="s">
        <v>89</v>
      </c>
      <c r="B4" s="4" t="str">
        <f>VLOOKUP(A4, 'Business Summary'!A:B, 2, FALSE)</f>
        <v>Test</v>
      </c>
    </row>
    <row r="5" spans="1:2" x14ac:dyDescent="0.25">
      <c r="A5" s="5" t="s">
        <v>90</v>
      </c>
      <c r="B5" s="4" t="str">
        <f>VLOOKUP(A5, 'Business Summary'!A:B, 2, FALSE)</f>
        <v>NJ</v>
      </c>
    </row>
    <row r="6" spans="1:2" x14ac:dyDescent="0.25">
      <c r="A6" s="5" t="s">
        <v>91</v>
      </c>
      <c r="B6" s="4">
        <f>VLOOKUP(A6, 'Business Summary'!A:B, 2, FALSE)</f>
        <v>10001</v>
      </c>
    </row>
    <row r="7" spans="1:2" x14ac:dyDescent="0.25">
      <c r="A7" s="5" t="s">
        <v>18</v>
      </c>
      <c r="B7" s="4" t="str">
        <f>VLOOKUP(A7, 'Business Summary'!A:B, 2, FALSE)</f>
        <v>Test, NJ 10001</v>
      </c>
    </row>
    <row r="8" spans="1:2" x14ac:dyDescent="0.25">
      <c r="A8" s="5" t="s">
        <v>19</v>
      </c>
      <c r="B8" s="4" t="str">
        <f>VLOOKUP(A8, 'Business Summary'!A:B, 2, FALSE)</f>
        <v>12-3456789</v>
      </c>
    </row>
    <row r="9" spans="1:2" x14ac:dyDescent="0.25">
      <c r="A9" s="5" t="s">
        <v>20</v>
      </c>
      <c r="B9" s="4" t="str">
        <f>VLOOKUP(A9, 'Business Summary'!A:B, 2, FALSE)</f>
        <v>07/14/2025</v>
      </c>
    </row>
    <row r="10" spans="1:2" x14ac:dyDescent="0.25">
      <c r="A10" s="5" t="s">
        <v>37</v>
      </c>
      <c r="B10" s="4" t="str">
        <f>VLOOKUP(A10, 'Business Summary'!A:B, 2, FALSE)</f>
        <v>John Doe</v>
      </c>
    </row>
    <row r="11" spans="1:2" x14ac:dyDescent="0.25">
      <c r="A11" s="5" t="s">
        <v>109</v>
      </c>
      <c r="B11" s="4" t="str">
        <f>VLOOKUP(A11, 'Business Summary'!A:B, 2, FALSE)</f>
        <v>123 Main Rd</v>
      </c>
    </row>
    <row r="12" spans="1:2" x14ac:dyDescent="0.25">
      <c r="A12" s="5" t="s">
        <v>110</v>
      </c>
      <c r="B12" s="4" t="str">
        <f>VLOOKUP(A12, 'Business Summary'!A:B, 2, FALSE)</f>
        <v>Test, NJ 10001</v>
      </c>
    </row>
    <row r="13" spans="1:2" x14ac:dyDescent="0.25">
      <c r="A13" s="5" t="s">
        <v>21</v>
      </c>
      <c r="B13" s="4" t="str">
        <f>VLOOKUP(A13, 'Business Summary'!A:B, 2, FALSE)</f>
        <v>123-45-6789</v>
      </c>
    </row>
    <row r="14" spans="1:2" x14ac:dyDescent="0.25">
      <c r="A14" s="5" t="s">
        <v>88</v>
      </c>
      <c r="B14" s="4" t="str">
        <f>VLOOKUP(A14, 'Business Summary'!A:B, 2, FALSE)</f>
        <v>Test@email.com</v>
      </c>
    </row>
    <row r="15" spans="1:2" x14ac:dyDescent="0.25">
      <c r="A15" s="5" t="s">
        <v>41</v>
      </c>
      <c r="B15" s="4" t="str">
        <f>VLOOKUP(A15, 'Business Summary'!A:B, 2, FALSE)</f>
        <v>1/1/2020</v>
      </c>
    </row>
    <row r="16" spans="1:2" x14ac:dyDescent="0.25">
      <c r="A16" s="5" t="s">
        <v>28</v>
      </c>
      <c r="B16" s="4" t="str">
        <f>VLOOKUP(A16, 'Business Summary'!A:B, 2, FALSE)</f>
        <v>Bergen</v>
      </c>
    </row>
    <row r="17" spans="1:2" x14ac:dyDescent="0.25">
      <c r="A17" s="5" t="s">
        <v>24</v>
      </c>
      <c r="B17" s="4" t="str">
        <f>VLOOKUP(A17, 'Business Summary'!A:B, 2, FALSE)</f>
        <v>NJ</v>
      </c>
    </row>
    <row r="18" spans="1:2" x14ac:dyDescent="0.25">
      <c r="A18" s="5" t="s">
        <v>25</v>
      </c>
      <c r="B18" s="4" t="str">
        <f>VLOOKUP(A18, 'Business Summary'!A:B, 2, FALSE)</f>
        <v>Domestic LLC</v>
      </c>
    </row>
    <row r="19" spans="1:2" x14ac:dyDescent="0.25">
      <c r="A19" s="5" t="s">
        <v>8</v>
      </c>
      <c r="B19" s="4" t="str">
        <f>VLOOKUP(A19, 'Business Summary'!A:B, 2, FALSE)</f>
        <v>Managing Member</v>
      </c>
    </row>
    <row r="20" spans="1:2" x14ac:dyDescent="0.25">
      <c r="A20" s="5" t="s">
        <v>9</v>
      </c>
      <c r="B20" s="4" t="str">
        <f>VLOOKUP(A20, 'Business Summary'!A:B, 2, FALSE)</f>
        <v>all MEMBER(S)</v>
      </c>
    </row>
    <row r="21" spans="1:2" x14ac:dyDescent="0.25">
      <c r="A21" s="4" t="s">
        <v>112</v>
      </c>
      <c r="B21" s="4" t="str">
        <f>VLOOKUP(A21, 'Business Summary'!A:B, 2, FALSE)</f>
        <v>Test Accounting Inc</v>
      </c>
    </row>
    <row r="22" spans="1:2" x14ac:dyDescent="0.25">
      <c r="A22" s="4" t="s">
        <v>117</v>
      </c>
      <c r="B22" s="4" t="str">
        <f>VLOOKUP(A22, 'Business Summary'!A:B, 2, FALSE)</f>
        <v>100 5th Ave</v>
      </c>
    </row>
    <row r="23" spans="1:2" x14ac:dyDescent="0.25">
      <c r="A23" s="4" t="s">
        <v>121</v>
      </c>
      <c r="B23" s="4" t="str">
        <f>VLOOKUP(A23, 'Business Summary'!A:B, 2, FALSE)</f>
        <v>New York, NY 10001</v>
      </c>
    </row>
    <row r="24" spans="1:2" x14ac:dyDescent="0.25">
      <c r="A24" s="4" t="s">
        <v>122</v>
      </c>
      <c r="B24" s="4" t="str">
        <f>VLOOKUP(A24, 'Business Summary'!A:B, 2, FALSE)</f>
        <v>James Dome</v>
      </c>
    </row>
    <row r="25" spans="1:2" x14ac:dyDescent="0.25">
      <c r="A25" s="4" t="s">
        <v>123</v>
      </c>
      <c r="B25" s="4" t="str">
        <f>VLOOKUP(A25, 'Business Summary'!A:B, 2, FALSE)</f>
        <v>jamesdome@acctg.com</v>
      </c>
    </row>
    <row r="26" spans="1:2" x14ac:dyDescent="0.25">
      <c r="A26" s="4" t="s">
        <v>124</v>
      </c>
      <c r="B26" s="4" t="str">
        <f>VLOOKUP(A26, 'Business Summary'!A:B, 2, FALSE)</f>
        <v>222-22-2222</v>
      </c>
    </row>
    <row r="27" spans="1:2" x14ac:dyDescent="0.25">
      <c r="A27" t="s">
        <v>38</v>
      </c>
      <c r="B27" s="2" t="s">
        <v>201</v>
      </c>
    </row>
    <row r="28" spans="1:2" x14ac:dyDescent="0.25">
      <c r="A28" t="s">
        <v>125</v>
      </c>
      <c r="B28" s="2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CEE8B-0F05-4E1A-956D-92B0FF2D09BE}">
  <dimension ref="A1:B54"/>
  <sheetViews>
    <sheetView topLeftCell="A7" workbookViewId="0">
      <selection activeCell="B37" sqref="B37"/>
    </sheetView>
  </sheetViews>
  <sheetFormatPr defaultRowHeight="15" x14ac:dyDescent="0.25"/>
  <cols>
    <col min="1" max="2" width="34.5703125" customWidth="1"/>
  </cols>
  <sheetData>
    <row r="1" spans="1:2" x14ac:dyDescent="0.25">
      <c r="A1" s="5" t="s">
        <v>23</v>
      </c>
      <c r="B1" s="4" t="str">
        <f>VLOOKUP(A1, 'Business Summary'!A:B, 2, FALSE)</f>
        <v>NJ9999</v>
      </c>
    </row>
    <row r="2" spans="1:2" x14ac:dyDescent="0.25">
      <c r="A2" s="5" t="s">
        <v>16</v>
      </c>
      <c r="B2" s="4" t="str">
        <f>VLOOKUP(A2, 'Business Summary'!A:B, 2, FALSE)</f>
        <v>Test LLC</v>
      </c>
    </row>
    <row r="3" spans="1:2" x14ac:dyDescent="0.25">
      <c r="A3" s="5" t="s">
        <v>17</v>
      </c>
      <c r="B3" s="4" t="str">
        <f>VLOOKUP(A3, 'Business Summary'!A:B, 2, FALSE)</f>
        <v>123 Main Rd</v>
      </c>
    </row>
    <row r="4" spans="1:2" x14ac:dyDescent="0.25">
      <c r="A4" s="5" t="s">
        <v>89</v>
      </c>
      <c r="B4" s="4" t="str">
        <f>VLOOKUP(A4, 'Business Summary'!A:B, 2, FALSE)</f>
        <v>Test</v>
      </c>
    </row>
    <row r="5" spans="1:2" x14ac:dyDescent="0.25">
      <c r="A5" s="5" t="s">
        <v>90</v>
      </c>
      <c r="B5" s="4" t="str">
        <f>VLOOKUP(A5, 'Business Summary'!A:B, 2, FALSE)</f>
        <v>NJ</v>
      </c>
    </row>
    <row r="6" spans="1:2" x14ac:dyDescent="0.25">
      <c r="A6" s="5" t="s">
        <v>91</v>
      </c>
      <c r="B6" s="4">
        <f>VLOOKUP(A6, 'Business Summary'!A:B, 2, FALSE)</f>
        <v>10001</v>
      </c>
    </row>
    <row r="7" spans="1:2" x14ac:dyDescent="0.25">
      <c r="A7" s="5" t="s">
        <v>18</v>
      </c>
      <c r="B7" s="4" t="str">
        <f>VLOOKUP(A7, 'Business Summary'!A:B, 2, FALSE)</f>
        <v>Test, NJ 10001</v>
      </c>
    </row>
    <row r="8" spans="1:2" x14ac:dyDescent="0.25">
      <c r="A8" s="5" t="s">
        <v>19</v>
      </c>
      <c r="B8" s="4" t="str">
        <f>VLOOKUP(A8, 'Business Summary'!A:B, 2, FALSE)</f>
        <v>12-3456789</v>
      </c>
    </row>
    <row r="9" spans="1:2" x14ac:dyDescent="0.25">
      <c r="A9" s="5" t="s">
        <v>20</v>
      </c>
      <c r="B9" s="4" t="str">
        <f>VLOOKUP(A9, 'Business Summary'!A:B, 2, FALSE)</f>
        <v>07/14/2025</v>
      </c>
    </row>
    <row r="10" spans="1:2" x14ac:dyDescent="0.25">
      <c r="A10" s="5" t="s">
        <v>37</v>
      </c>
      <c r="B10" s="4" t="str">
        <f>VLOOKUP(A10, 'Business Summary'!A:B, 2, FALSE)</f>
        <v>John Doe</v>
      </c>
    </row>
    <row r="11" spans="1:2" x14ac:dyDescent="0.25">
      <c r="A11" s="5" t="s">
        <v>109</v>
      </c>
      <c r="B11" s="4" t="str">
        <f>VLOOKUP(A11, 'Business Summary'!A:B, 2, FALSE)</f>
        <v>123 Main Rd</v>
      </c>
    </row>
    <row r="12" spans="1:2" x14ac:dyDescent="0.25">
      <c r="A12" s="5" t="s">
        <v>110</v>
      </c>
      <c r="B12" s="4" t="str">
        <f>VLOOKUP(A12, 'Business Summary'!A:B, 2, FALSE)</f>
        <v>Test, NJ 10001</v>
      </c>
    </row>
    <row r="13" spans="1:2" x14ac:dyDescent="0.25">
      <c r="A13" s="5" t="s">
        <v>21</v>
      </c>
      <c r="B13" s="4" t="str">
        <f>VLOOKUP(A13, 'Business Summary'!A:B, 2, FALSE)</f>
        <v>123-45-6789</v>
      </c>
    </row>
    <row r="14" spans="1:2" x14ac:dyDescent="0.25">
      <c r="A14" s="5" t="s">
        <v>88</v>
      </c>
      <c r="B14" s="4" t="str">
        <f>VLOOKUP(A14, 'Business Summary'!A:B, 2, FALSE)</f>
        <v>Test@email.com</v>
      </c>
    </row>
    <row r="15" spans="1:2" x14ac:dyDescent="0.25">
      <c r="A15" s="5" t="s">
        <v>41</v>
      </c>
      <c r="B15" s="4" t="str">
        <f>VLOOKUP(A15, 'Business Summary'!A:B, 2, FALSE)</f>
        <v>1/1/2020</v>
      </c>
    </row>
    <row r="16" spans="1:2" x14ac:dyDescent="0.25">
      <c r="A16" s="5" t="s">
        <v>28</v>
      </c>
      <c r="B16" s="4" t="str">
        <f>VLOOKUP(A16, 'Business Summary'!A:B, 2, FALSE)</f>
        <v>Bergen</v>
      </c>
    </row>
    <row r="17" spans="1:2" x14ac:dyDescent="0.25">
      <c r="A17" s="5" t="s">
        <v>24</v>
      </c>
      <c r="B17" s="4" t="str">
        <f>VLOOKUP(A17, 'Business Summary'!A:B, 2, FALSE)</f>
        <v>NJ</v>
      </c>
    </row>
    <row r="18" spans="1:2" x14ac:dyDescent="0.25">
      <c r="A18" s="5" t="s">
        <v>25</v>
      </c>
      <c r="B18" s="4" t="str">
        <f>VLOOKUP(A18, 'Business Summary'!A:B, 2, FALSE)</f>
        <v>Domestic LLC</v>
      </c>
    </row>
    <row r="19" spans="1:2" x14ac:dyDescent="0.25">
      <c r="A19" s="5" t="s">
        <v>8</v>
      </c>
      <c r="B19" s="4" t="str">
        <f>VLOOKUP(A19, 'Business Summary'!A:B, 2, FALSE)</f>
        <v>Managing Member</v>
      </c>
    </row>
    <row r="20" spans="1:2" x14ac:dyDescent="0.25">
      <c r="A20" s="5" t="s">
        <v>9</v>
      </c>
      <c r="B20" s="4" t="str">
        <f>VLOOKUP(A20, 'Business Summary'!A:B, 2, FALSE)</f>
        <v>all MEMBER(S)</v>
      </c>
    </row>
    <row r="21" spans="1:2" x14ac:dyDescent="0.25">
      <c r="A21" s="4" t="s">
        <v>112</v>
      </c>
      <c r="B21" s="4" t="str">
        <f>VLOOKUP(A21, 'Business Summary'!A:B, 2, FALSE)</f>
        <v>Test Accounting Inc</v>
      </c>
    </row>
    <row r="22" spans="1:2" x14ac:dyDescent="0.25">
      <c r="A22" s="4" t="s">
        <v>117</v>
      </c>
      <c r="B22" s="4" t="str">
        <f>VLOOKUP(A22, 'Business Summary'!A:B, 2, FALSE)</f>
        <v>100 5th Ave</v>
      </c>
    </row>
    <row r="23" spans="1:2" x14ac:dyDescent="0.25">
      <c r="A23" s="4" t="s">
        <v>121</v>
      </c>
      <c r="B23" s="4" t="str">
        <f>VLOOKUP(A23, 'Business Summary'!A:B, 2, FALSE)</f>
        <v>New York, NY 10001</v>
      </c>
    </row>
    <row r="24" spans="1:2" x14ac:dyDescent="0.25">
      <c r="A24" s="4" t="s">
        <v>122</v>
      </c>
      <c r="B24" s="4" t="str">
        <f>VLOOKUP(A24, 'Business Summary'!A:B, 2, FALSE)</f>
        <v>James Dome</v>
      </c>
    </row>
    <row r="25" spans="1:2" x14ac:dyDescent="0.25">
      <c r="A25" s="4" t="s">
        <v>123</v>
      </c>
      <c r="B25" s="4" t="str">
        <f>VLOOKUP(A25, 'Business Summary'!A:B, 2, FALSE)</f>
        <v>jamesdome@acctg.com</v>
      </c>
    </row>
    <row r="26" spans="1:2" x14ac:dyDescent="0.25">
      <c r="A26" s="4" t="s">
        <v>124</v>
      </c>
      <c r="B26" s="4" t="str">
        <f>VLOOKUP(A26, 'Business Summary'!A:B, 2, FALSE)</f>
        <v>222-22-2222</v>
      </c>
    </row>
    <row r="27" spans="1:2" x14ac:dyDescent="0.25">
      <c r="A27" s="4" t="s">
        <v>148</v>
      </c>
      <c r="B27" s="4" t="str">
        <f>VLOOKUP(A27, 'Business Summary'!A:B, 2, FALSE)</f>
        <v>123 Main Rd, Test, NJ 10001</v>
      </c>
    </row>
    <row r="28" spans="1:2" x14ac:dyDescent="0.25">
      <c r="A28" t="s">
        <v>38</v>
      </c>
      <c r="B28" t="s">
        <v>200</v>
      </c>
    </row>
    <row r="29" spans="1:2" x14ac:dyDescent="0.25">
      <c r="A29" t="s">
        <v>171</v>
      </c>
      <c r="B29" t="s">
        <v>180</v>
      </c>
    </row>
    <row r="30" spans="1:2" x14ac:dyDescent="0.25">
      <c r="A30" t="s">
        <v>175</v>
      </c>
      <c r="B30" t="s">
        <v>180</v>
      </c>
    </row>
    <row r="31" spans="1:2" x14ac:dyDescent="0.25">
      <c r="A31" t="s">
        <v>172</v>
      </c>
      <c r="B31" t="s">
        <v>180</v>
      </c>
    </row>
    <row r="32" spans="1:2" x14ac:dyDescent="0.25">
      <c r="A32" t="s">
        <v>176</v>
      </c>
      <c r="B32" t="s">
        <v>180</v>
      </c>
    </row>
    <row r="33" spans="1:2" x14ac:dyDescent="0.25">
      <c r="A33" t="s">
        <v>173</v>
      </c>
      <c r="B33" t="s">
        <v>180</v>
      </c>
    </row>
    <row r="34" spans="1:2" x14ac:dyDescent="0.25">
      <c r="A34" t="s">
        <v>177</v>
      </c>
      <c r="B34" t="s">
        <v>180</v>
      </c>
    </row>
    <row r="35" spans="1:2" x14ac:dyDescent="0.25">
      <c r="A35" t="s">
        <v>174</v>
      </c>
      <c r="B35" t="s">
        <v>180</v>
      </c>
    </row>
    <row r="36" spans="1:2" x14ac:dyDescent="0.25">
      <c r="A36" t="s">
        <v>178</v>
      </c>
      <c r="B36" t="s">
        <v>180</v>
      </c>
    </row>
    <row r="37" spans="1:2" x14ac:dyDescent="0.25">
      <c r="A37" t="s">
        <v>179</v>
      </c>
      <c r="B37" t="e">
        <f ca="1">_xlfn.TEXTJOIN("\n", TRUE,
  B10 &amp; "    " &amp; B27,
  B29 &amp; "    " &amp; B30,
  B31 &amp; "    " &amp; B32,
  B33 &amp; "    " &amp; B34,
  B35 &amp; "    " &amp; B36
)</f>
        <v>#NAME?</v>
      </c>
    </row>
    <row r="38" spans="1:2" x14ac:dyDescent="0.25">
      <c r="A38" t="s">
        <v>181</v>
      </c>
      <c r="B38" s="1">
        <v>46022</v>
      </c>
    </row>
    <row r="39" spans="1:2" x14ac:dyDescent="0.25">
      <c r="A39" t="s">
        <v>186</v>
      </c>
      <c r="B39" s="1">
        <v>46022</v>
      </c>
    </row>
    <row r="40" spans="1:2" x14ac:dyDescent="0.25">
      <c r="A40" t="s">
        <v>187</v>
      </c>
      <c r="B40" s="1">
        <v>45657</v>
      </c>
    </row>
    <row r="41" spans="1:2" x14ac:dyDescent="0.25">
      <c r="A41" t="s">
        <v>182</v>
      </c>
      <c r="B41" t="s">
        <v>183</v>
      </c>
    </row>
    <row r="42" spans="1:2" x14ac:dyDescent="0.25">
      <c r="A42" t="s">
        <v>184</v>
      </c>
      <c r="B42">
        <v>100</v>
      </c>
    </row>
    <row r="43" spans="1:2" x14ac:dyDescent="0.25">
      <c r="A43" t="s">
        <v>185</v>
      </c>
    </row>
    <row r="44" spans="1:2" x14ac:dyDescent="0.25">
      <c r="A44" t="s">
        <v>188</v>
      </c>
      <c r="B44" t="s">
        <v>189</v>
      </c>
    </row>
    <row r="45" spans="1:2" x14ac:dyDescent="0.25">
      <c r="A45" t="s">
        <v>22</v>
      </c>
      <c r="B45" s="1">
        <v>45658</v>
      </c>
    </row>
    <row r="46" spans="1:2" x14ac:dyDescent="0.25">
      <c r="A46" s="7" t="s">
        <v>191</v>
      </c>
      <c r="B46" s="8">
        <v>1</v>
      </c>
    </row>
    <row r="47" spans="1:2" x14ac:dyDescent="0.25">
      <c r="A47" s="7" t="s">
        <v>192</v>
      </c>
      <c r="B47" s="8">
        <v>0</v>
      </c>
    </row>
    <row r="48" spans="1:2" x14ac:dyDescent="0.25">
      <c r="A48" s="7" t="s">
        <v>193</v>
      </c>
      <c r="B48" s="8">
        <v>0</v>
      </c>
    </row>
    <row r="49" spans="1:2" x14ac:dyDescent="0.25">
      <c r="A49" s="7" t="s">
        <v>194</v>
      </c>
      <c r="B49" s="8">
        <v>0</v>
      </c>
    </row>
    <row r="50" spans="1:2" x14ac:dyDescent="0.25">
      <c r="A50" s="7" t="s">
        <v>190</v>
      </c>
      <c r="B50" s="8">
        <v>0</v>
      </c>
    </row>
    <row r="51" spans="1:2" x14ac:dyDescent="0.25">
      <c r="A51" s="7" t="s">
        <v>195</v>
      </c>
      <c r="B51" s="8">
        <v>1</v>
      </c>
    </row>
    <row r="52" spans="1:2" x14ac:dyDescent="0.25">
      <c r="A52" s="8" t="s">
        <v>196</v>
      </c>
      <c r="B52" s="8">
        <v>0</v>
      </c>
    </row>
    <row r="53" spans="1:2" ht="30" x14ac:dyDescent="0.25">
      <c r="A53" s="7" t="s">
        <v>197</v>
      </c>
      <c r="B53" s="8">
        <v>0</v>
      </c>
    </row>
    <row r="54" spans="1:2" ht="30" x14ac:dyDescent="0.25">
      <c r="A54" s="7" t="s">
        <v>198</v>
      </c>
      <c r="B54" s="8">
        <v>1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144F1FE0EDDA4897D31A87B2FB7AAB" ma:contentTypeVersion="5" ma:contentTypeDescription="Create a new document." ma:contentTypeScope="" ma:versionID="ad8eac78b6fd4033af99ad6ecfa5f230">
  <xsd:schema xmlns:xsd="http://www.w3.org/2001/XMLSchema" xmlns:xs="http://www.w3.org/2001/XMLSchema" xmlns:p="http://schemas.microsoft.com/office/2006/metadata/properties" xmlns:ns3="110c293e-5f03-4ae2-a20e-11824d1f2506" targetNamespace="http://schemas.microsoft.com/office/2006/metadata/properties" ma:root="true" ma:fieldsID="5375d29e72b2344425a8324ce85b25c0" ns3:_="">
    <xsd:import namespace="110c293e-5f03-4ae2-a20e-11824d1f250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0c293e-5f03-4ae2-a20e-11824d1f250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F900AD-5D68-4FC9-AD7E-D51655DA047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43B2A6D-F528-4FAA-938D-1E3FC2313129}">
  <ds:schemaRefs>
    <ds:schemaRef ds:uri="http://purl.org/dc/terms/"/>
    <ds:schemaRef ds:uri="http://schemas.microsoft.com/office/infopath/2007/PartnerControls"/>
    <ds:schemaRef ds:uri="http://schemas.openxmlformats.org/package/2006/metadata/core-properties"/>
    <ds:schemaRef ds:uri="110c293e-5f03-4ae2-a20e-11824d1f2506"/>
    <ds:schemaRef ds:uri="http://purl.org/dc/elements/1.1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DEEED10-4C83-49B8-8ED8-C090FA6AAD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0c293e-5f03-4ae2-a20e-11824d1f25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Business Summary</vt:lpstr>
      <vt:lpstr>1 - Authorization</vt:lpstr>
      <vt:lpstr>2- RP Change</vt:lpstr>
      <vt:lpstr>3 - S Corp Election</vt:lpstr>
      <vt:lpstr>4 - TN Dissolution</vt:lpstr>
      <vt:lpstr>5 - NYS LLC Dissolution</vt:lpstr>
      <vt:lpstr>6 - NYS Corp Dissolution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usacctginc 1138</dc:creator>
  <cp:lastModifiedBy>Matthew Ding</cp:lastModifiedBy>
  <dcterms:created xsi:type="dcterms:W3CDTF">2025-07-07T14:20:55Z</dcterms:created>
  <dcterms:modified xsi:type="dcterms:W3CDTF">2025-08-01T21:19:00Z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0x01010078144F1FE0EDDA4897D31A87B2FB7AAB</vt:lpwstr>
  </property>
</Properties>
</file>